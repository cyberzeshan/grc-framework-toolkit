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urrent Profile" sheetId="2" state="visible" r:id="rId2"/>
    <sheet xmlns:r="http://schemas.openxmlformats.org/officeDocument/2006/relationships" name="Target Profile" sheetId="3" state="visible" r:id="rId3"/>
    <sheet xmlns:r="http://schemas.openxmlformats.org/officeDocument/2006/relationships" name="Gap Analysis" sheetId="4" state="visible" r:id="rId4"/>
    <sheet xmlns:r="http://schemas.openxmlformats.org/officeDocument/2006/relationships" name="Tie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1F497D"/>
      <sz val="9"/>
    </font>
    <font>
      <name val="Arial"/>
      <b val="1"/>
      <color rgb="00375623"/>
      <sz val="9"/>
    </font>
    <font>
      <name val="Arial"/>
      <b val="1"/>
      <color rgb="007B3F00"/>
      <sz val="9"/>
    </font>
    <font>
      <name val="Arial"/>
      <b val="1"/>
      <color rgb="00843C0C"/>
      <sz val="9"/>
    </font>
    <font>
      <name val="Arial"/>
      <b val="1"/>
      <color rgb="004472C4"/>
      <sz val="9"/>
    </font>
    <font>
      <name val="Arial"/>
      <i val="1"/>
      <color rgb="00595959"/>
      <sz val="10"/>
    </font>
    <font>
      <name val="Arial"/>
      <b val="1"/>
      <color rgb="001F3864"/>
      <sz val="10"/>
    </font>
    <font>
      <name val="Arial"/>
      <b val="1"/>
      <color rgb="001F497D"/>
      <sz val="10"/>
    </font>
    <font>
      <name val="Arial"/>
      <b val="1"/>
      <color rgb="00375623"/>
      <sz val="10"/>
    </font>
    <font>
      <name val="Arial"/>
      <b val="1"/>
      <color rgb="007B3F00"/>
      <sz val="10"/>
    </font>
    <font>
      <name val="Arial"/>
      <b val="1"/>
      <color rgb="00843C0C"/>
      <sz val="10"/>
    </font>
    <font>
      <name val="Arial"/>
      <b val="1"/>
      <color rgb="004472C4"/>
      <sz val="10"/>
    </font>
    <font>
      <name val="Arial"/>
      <b val="1"/>
      <color rgb="00FFFFFF"/>
      <sz val="13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1F497D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B3F00"/>
      </patternFill>
    </fill>
    <fill>
      <patternFill patternType="solid">
        <fgColor rgb="00FCE4D6"/>
      </patternFill>
    </fill>
    <fill>
      <patternFill patternType="solid">
        <fgColor rgb="00843C0C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9EFF7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22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2" ht="28" customHeight="1">
      <c r="B2" s="1" t="inlineStr">
        <is>
          <t>CSF Profile Template — Instructions</t>
        </is>
      </c>
    </row>
    <row r="3" ht="14" customHeight="1"/>
    <row r="4" ht="16" customHeight="1">
      <c r="B4" s="2" t="inlineStr"/>
    </row>
    <row r="5" ht="20" customHeight="1">
      <c r="B5" s="3" t="inlineStr">
        <is>
          <t>PURPOSE</t>
        </is>
      </c>
    </row>
    <row r="6" ht="16" customHeight="1">
      <c r="B6" s="2" t="inlineStr"/>
    </row>
    <row r="7" ht="20" customHeight="1">
      <c r="B7" s="3" t="inlineStr">
        <is>
          <t>SHEETS IN THIS WORKBOOK</t>
        </is>
      </c>
    </row>
    <row r="8" ht="18" customHeight="1">
      <c r="B8" s="2" t="inlineStr">
        <is>
          <t xml:space="preserve">  1. Instructions:  This page — how to use the workbook</t>
        </is>
      </c>
    </row>
    <row r="9" ht="18" customHeight="1">
      <c r="B9" s="2" t="inlineStr">
        <is>
          <t xml:space="preserve">  2. Current Profile:  Rate your organization's current state for each CSF outcome (1–4 scale)</t>
        </is>
      </c>
    </row>
    <row r="10" ht="18" customHeight="1">
      <c r="B10" s="2" t="inlineStr">
        <is>
          <t xml:space="preserve">  3. Target Profile:  Define your desired target state for each CSF outcome</t>
        </is>
      </c>
    </row>
    <row r="11" ht="18" customHeight="1">
      <c r="B11" s="2" t="inlineStr">
        <is>
          <t xml:space="preserve">  4. Gap Analysis:  Automatically calculated gap between current and target; prioritized roadmap</t>
        </is>
      </c>
    </row>
    <row r="12" ht="18" customHeight="1">
      <c r="B12" s="2" t="inlineStr">
        <is>
          <t xml:space="preserve">  5. Tier Summary:  Function-level tier summary and overall program tier</t>
        </is>
      </c>
    </row>
    <row r="13" ht="16" customHeight="1">
      <c r="B13" s="2" t="inlineStr"/>
    </row>
    <row r="14" ht="20" customHeight="1">
      <c r="B14" s="3" t="inlineStr">
        <is>
          <t>HOW TO COMPLETE</t>
        </is>
      </c>
    </row>
    <row r="15" ht="18" customHeight="1">
      <c r="B15" s="2" t="inlineStr">
        <is>
          <t xml:space="preserve">  Step 1:  Go to the 'Current Profile' sheet. For each row, enter your current implementation score (1–4).</t>
        </is>
      </c>
    </row>
    <row r="16" ht="18" customHeight="1">
      <c r="B16" s="2" t="inlineStr">
        <is>
          <t xml:space="preserve">  Step 2:  Go to the 'Target Profile' sheet. Enter your desired target score for each outcome (1–4).</t>
        </is>
      </c>
    </row>
    <row r="17" ht="18" customHeight="1">
      <c r="B17" s="2" t="inlineStr">
        <is>
          <t xml:space="preserve">  Step 3:  Review the 'Gap Analysis' sheet — gaps are auto-calculated. Prioritize High gaps.</t>
        </is>
      </c>
    </row>
    <row r="18" ht="18" customHeight="1">
      <c r="B18" s="2" t="inlineStr">
        <is>
          <t xml:space="preserve">  Step 4:  Share the 'Tier Summary' with leadership for program-level visibility.</t>
        </is>
      </c>
    </row>
    <row r="19" ht="16" customHeight="1">
      <c r="B19" s="2" t="inlineStr"/>
    </row>
    <row r="20" ht="20" customHeight="1">
      <c r="B20" s="3" t="inlineStr">
        <is>
          <t>SCORING SCALE</t>
        </is>
      </c>
    </row>
    <row r="21" ht="18" customHeight="1">
      <c r="B21" s="2" t="inlineStr">
        <is>
          <t xml:space="preserve">  1 — Partial:  Practice is ad hoc, reactive, and not formalized</t>
        </is>
      </c>
    </row>
    <row r="22" ht="18" customHeight="1">
      <c r="B22" s="2" t="inlineStr">
        <is>
          <t xml:space="preserve">  2 — Risk Informed:  Practice is approved but not consistently applied org-wide</t>
        </is>
      </c>
    </row>
    <row r="23" ht="18" customHeight="1">
      <c r="B23" s="2" t="inlineStr">
        <is>
          <t xml:space="preserve">  3 — Repeatable:  Practice is formally approved, documented, and consistently applied</t>
        </is>
      </c>
    </row>
    <row r="24" ht="18" customHeight="1">
      <c r="B24" s="2" t="inlineStr">
        <is>
          <t xml:space="preserve">  4 — Adaptive:  Practice is continuously improved based on threat intelligence and lessons learned</t>
        </is>
      </c>
    </row>
    <row r="25" ht="16" customHeight="1">
      <c r="B25" s="2" t="inlineStr"/>
    </row>
    <row r="26" ht="20" customHeight="1">
      <c r="B26" s="3" t="inlineStr">
        <is>
          <t>NOTES</t>
        </is>
      </c>
    </row>
  </sheetData>
  <mergeCells count="6">
    <mergeCell ref="B26"/>
    <mergeCell ref="B7"/>
    <mergeCell ref="B20"/>
    <mergeCell ref="B2:B3"/>
    <mergeCell ref="B5"/>
    <mergeCell ref="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2" customWidth="1" min="4" max="4"/>
    <col width="44" customWidth="1" min="5" max="5"/>
    <col width="10" customWidth="1" min="6" max="6"/>
    <col width="10" customWidth="1" min="7" max="7"/>
    <col width="30" customWidth="1" min="8" max="8"/>
  </cols>
  <sheetData>
    <row r="1" ht="28" customHeight="1">
      <c r="B1" s="4" t="inlineStr">
        <is>
          <t>NIST CSF 2.0 — Current Profile</t>
        </is>
      </c>
    </row>
    <row r="2" ht="20" customHeight="1">
      <c r="B2" s="5" t="inlineStr">
        <is>
          <t>Organization:</t>
        </is>
      </c>
      <c r="E2" s="6" t="inlineStr"/>
      <c r="G2" s="5" t="inlineStr">
        <is>
          <t>Date:</t>
        </is>
      </c>
      <c r="H2" s="6" t="inlineStr"/>
    </row>
    <row r="3" ht="36" customHeight="1">
      <c r="A3" s="7" t="inlineStr"/>
      <c r="B3" s="8" t="inlineStr">
        <is>
          <t>Function</t>
        </is>
      </c>
      <c r="C3" s="8" t="inlineStr">
        <is>
          <t>Category</t>
        </is>
      </c>
      <c r="D3" s="8" t="inlineStr">
        <is>
          <t>Subcategory ID</t>
        </is>
      </c>
      <c r="E3" s="8" t="inlineStr">
        <is>
          <t>Subcategory Description</t>
        </is>
      </c>
      <c r="F3" s="9" t="inlineStr">
        <is>
          <t>Current
Score</t>
        </is>
      </c>
      <c r="G3" s="9" t="inlineStr">
        <is>
          <t>Target
Score</t>
        </is>
      </c>
      <c r="H3" s="8" t="inlineStr">
        <is>
          <t>Notes / Evidence Reference</t>
        </is>
      </c>
    </row>
    <row r="4" ht="30" customHeight="1">
      <c r="A4" s="10" t="inlineStr"/>
      <c r="B4" s="10" t="inlineStr"/>
      <c r="C4" s="10" t="inlineStr"/>
      <c r="D4" s="10" t="inlineStr"/>
      <c r="E4" s="10" t="inlineStr">
        <is>
          <t>Rate current implementation
1=Partial  2=Risk Informed  3=Repeatable  4=Adaptive</t>
        </is>
      </c>
      <c r="F4" s="10" t="inlineStr">
        <is>
          <t>Enter 1–4
(or N/A)</t>
        </is>
      </c>
      <c r="G4" s="10" t="inlineStr">
        <is>
          <t>Enter 1–4
(or N/A)</t>
        </is>
      </c>
      <c r="H4" s="10" t="inlineStr">
        <is>
          <t>Document evidence or context</t>
        </is>
      </c>
    </row>
    <row r="5" ht="22" customHeight="1">
      <c r="B5" s="11" t="inlineStr">
        <is>
          <t>▶  GOVERN (GV)</t>
        </is>
      </c>
    </row>
    <row r="6" ht="18" customHeight="1">
      <c r="A6" s="12" t="inlineStr"/>
      <c r="B6" s="13" t="inlineStr">
        <is>
          <t>GOVERN</t>
        </is>
      </c>
      <c r="C6" s="14" t="inlineStr">
        <is>
          <t>Organizational Context</t>
        </is>
      </c>
      <c r="D6" s="15" t="inlineStr">
        <is>
          <t>GV.OC-01</t>
        </is>
      </c>
      <c r="E6" s="14" t="inlineStr">
        <is>
          <t>Mission, stakeholders, and dependencies understood</t>
        </is>
      </c>
      <c r="F6" s="16" t="inlineStr"/>
      <c r="G6" s="16" t="inlineStr"/>
      <c r="H6" s="17" t="inlineStr"/>
    </row>
    <row r="7" ht="18" customHeight="1">
      <c r="A7" s="12" t="inlineStr"/>
      <c r="B7" s="13" t="inlineStr">
        <is>
          <t>GOVERN</t>
        </is>
      </c>
      <c r="C7" s="14" t="inlineStr">
        <is>
          <t>Organizational Context</t>
        </is>
      </c>
      <c r="D7" s="15" t="inlineStr">
        <is>
          <t>GV.OC-02</t>
        </is>
      </c>
      <c r="E7" s="14" t="inlineStr">
        <is>
          <t>Legal/regulatory requirements identified</t>
        </is>
      </c>
      <c r="F7" s="16" t="inlineStr"/>
      <c r="G7" s="16" t="inlineStr"/>
      <c r="H7" s="18" t="inlineStr"/>
    </row>
    <row r="8" ht="18" customHeight="1">
      <c r="A8" s="12" t="inlineStr"/>
      <c r="B8" s="13" t="inlineStr">
        <is>
          <t>GOVERN</t>
        </is>
      </c>
      <c r="C8" s="14" t="inlineStr">
        <is>
          <t>Organizational Context</t>
        </is>
      </c>
      <c r="D8" s="15" t="inlineStr">
        <is>
          <t>GV.OC-03</t>
        </is>
      </c>
      <c r="E8" s="14" t="inlineStr">
        <is>
          <t>Critical objectives and capabilities identified</t>
        </is>
      </c>
      <c r="F8" s="16" t="inlineStr"/>
      <c r="G8" s="16" t="inlineStr"/>
      <c r="H8" s="17" t="inlineStr"/>
    </row>
    <row r="9" ht="18" customHeight="1">
      <c r="A9" s="12" t="inlineStr"/>
      <c r="B9" s="13" t="inlineStr">
        <is>
          <t>GOVERN</t>
        </is>
      </c>
      <c r="C9" s="14" t="inlineStr">
        <is>
          <t>Organizational Context</t>
        </is>
      </c>
      <c r="D9" s="15" t="inlineStr">
        <is>
          <t>GV.OC-04</t>
        </is>
      </c>
      <c r="E9" s="14" t="inlineStr">
        <is>
          <t>Relationships and dependencies understood</t>
        </is>
      </c>
      <c r="F9" s="16" t="inlineStr"/>
      <c r="G9" s="16" t="inlineStr"/>
      <c r="H9" s="18" t="inlineStr"/>
    </row>
    <row r="10" ht="18" customHeight="1">
      <c r="A10" s="12" t="inlineStr"/>
      <c r="B10" s="13" t="inlineStr">
        <is>
          <t>GOVERN</t>
        </is>
      </c>
      <c r="C10" s="14" t="inlineStr">
        <is>
          <t>Organizational Context</t>
        </is>
      </c>
      <c r="D10" s="15" t="inlineStr">
        <is>
          <t>GV.OC-05</t>
        </is>
      </c>
      <c r="E10" s="14" t="inlineStr">
        <is>
          <t>Cybersecurity integrated into organizational strategy</t>
        </is>
      </c>
      <c r="F10" s="16" t="inlineStr"/>
      <c r="G10" s="16" t="inlineStr"/>
      <c r="H10" s="17" t="inlineStr"/>
    </row>
    <row r="11" ht="18" customHeight="1">
      <c r="A11" s="12" t="inlineStr"/>
      <c r="B11" s="13" t="inlineStr">
        <is>
          <t>GOVERN</t>
        </is>
      </c>
      <c r="C11" s="14" t="inlineStr">
        <is>
          <t>Risk Management Strategy</t>
        </is>
      </c>
      <c r="D11" s="15" t="inlineStr">
        <is>
          <t>GV.RM-01</t>
        </is>
      </c>
      <c r="E11" s="14" t="inlineStr">
        <is>
          <t>Risk management objectives established</t>
        </is>
      </c>
      <c r="F11" s="16" t="inlineStr"/>
      <c r="G11" s="16" t="inlineStr"/>
      <c r="H11" s="18" t="inlineStr"/>
    </row>
    <row r="12" ht="18" customHeight="1">
      <c r="A12" s="12" t="inlineStr"/>
      <c r="B12" s="13" t="inlineStr">
        <is>
          <t>GOVERN</t>
        </is>
      </c>
      <c r="C12" s="14" t="inlineStr">
        <is>
          <t>Risk Management Strategy</t>
        </is>
      </c>
      <c r="D12" s="15" t="inlineStr">
        <is>
          <t>GV.RM-02</t>
        </is>
      </c>
      <c r="E12" s="14" t="inlineStr">
        <is>
          <t>Risk appetite and tolerance determined</t>
        </is>
      </c>
      <c r="F12" s="16" t="inlineStr"/>
      <c r="G12" s="16" t="inlineStr"/>
      <c r="H12" s="17" t="inlineStr"/>
    </row>
    <row r="13" ht="18" customHeight="1">
      <c r="A13" s="12" t="inlineStr"/>
      <c r="B13" s="13" t="inlineStr">
        <is>
          <t>GOVERN</t>
        </is>
      </c>
      <c r="C13" s="14" t="inlineStr">
        <is>
          <t>Risk Management Strategy</t>
        </is>
      </c>
      <c r="D13" s="15" t="inlineStr">
        <is>
          <t>GV.RM-03</t>
        </is>
      </c>
      <c r="E13" s="14" t="inlineStr">
        <is>
          <t>Cybersecurity risk integrated into ERM</t>
        </is>
      </c>
      <c r="F13" s="16" t="inlineStr"/>
      <c r="G13" s="16" t="inlineStr"/>
      <c r="H13" s="18" t="inlineStr"/>
    </row>
    <row r="14" ht="18" customHeight="1">
      <c r="A14" s="12" t="inlineStr"/>
      <c r="B14" s="13" t="inlineStr">
        <is>
          <t>GOVERN</t>
        </is>
      </c>
      <c r="C14" s="14" t="inlineStr">
        <is>
          <t>Risk Management Strategy</t>
        </is>
      </c>
      <c r="D14" s="15" t="inlineStr">
        <is>
          <t>GV.RM-04</t>
        </is>
      </c>
      <c r="E14" s="14" t="inlineStr">
        <is>
          <t>Strategic direction communicated to stakeholders</t>
        </is>
      </c>
      <c r="F14" s="16" t="inlineStr"/>
      <c r="G14" s="16" t="inlineStr"/>
      <c r="H14" s="17" t="inlineStr"/>
    </row>
    <row r="15" ht="18" customHeight="1">
      <c r="A15" s="12" t="inlineStr"/>
      <c r="B15" s="13" t="inlineStr">
        <is>
          <t>GOVERN</t>
        </is>
      </c>
      <c r="C15" s="14" t="inlineStr">
        <is>
          <t>Risk Management Strategy</t>
        </is>
      </c>
      <c r="D15" s="15" t="inlineStr">
        <is>
          <t>GV.RM-05</t>
        </is>
      </c>
      <c r="E15" s="14" t="inlineStr">
        <is>
          <t>Threats and vulnerabilities fed into risk management</t>
        </is>
      </c>
      <c r="F15" s="16" t="inlineStr"/>
      <c r="G15" s="16" t="inlineStr"/>
      <c r="H15" s="18" t="inlineStr"/>
    </row>
    <row r="16" ht="18" customHeight="1">
      <c r="A16" s="12" t="inlineStr"/>
      <c r="B16" s="13" t="inlineStr">
        <is>
          <t>GOVERN</t>
        </is>
      </c>
      <c r="C16" s="14" t="inlineStr">
        <is>
          <t>Risk Management Strategy</t>
        </is>
      </c>
      <c r="D16" s="15" t="inlineStr">
        <is>
          <t>GV.RM-06</t>
        </is>
      </c>
      <c r="E16" s="14" t="inlineStr">
        <is>
          <t>Policies establish risk oversight responsibilities</t>
        </is>
      </c>
      <c r="F16" s="16" t="inlineStr"/>
      <c r="G16" s="16" t="inlineStr"/>
      <c r="H16" s="17" t="inlineStr"/>
    </row>
    <row r="17" ht="18" customHeight="1">
      <c r="A17" s="12" t="inlineStr"/>
      <c r="B17" s="13" t="inlineStr">
        <is>
          <t>GOVERN</t>
        </is>
      </c>
      <c r="C17" s="14" t="inlineStr">
        <is>
          <t>Risk Management Strategy</t>
        </is>
      </c>
      <c r="D17" s="15" t="inlineStr">
        <is>
          <t>GV.RM-07</t>
        </is>
      </c>
      <c r="E17" s="14" t="inlineStr">
        <is>
          <t>Strategic opportunities considered in risk decisions</t>
        </is>
      </c>
      <c r="F17" s="16" t="inlineStr"/>
      <c r="G17" s="16" t="inlineStr"/>
      <c r="H17" s="18" t="inlineStr"/>
    </row>
    <row r="18" ht="18" customHeight="1">
      <c r="A18" s="12" t="inlineStr"/>
      <c r="B18" s="13" t="inlineStr">
        <is>
          <t>GOVERN</t>
        </is>
      </c>
      <c r="C18" s="14" t="inlineStr">
        <is>
          <t>Roles, Responsibilities &amp; Authorities</t>
        </is>
      </c>
      <c r="D18" s="15" t="inlineStr">
        <is>
          <t>GV.RR-01</t>
        </is>
      </c>
      <c r="E18" s="14" t="inlineStr">
        <is>
          <t>Leadership accountable for cybersecurity risk</t>
        </is>
      </c>
      <c r="F18" s="16" t="inlineStr"/>
      <c r="G18" s="16" t="inlineStr"/>
      <c r="H18" s="17" t="inlineStr"/>
    </row>
    <row r="19" ht="18" customHeight="1">
      <c r="A19" s="12" t="inlineStr"/>
      <c r="B19" s="13" t="inlineStr">
        <is>
          <t>GOVERN</t>
        </is>
      </c>
      <c r="C19" s="14" t="inlineStr">
        <is>
          <t>Roles, Responsibilities &amp; Authorities</t>
        </is>
      </c>
      <c r="D19" s="15" t="inlineStr">
        <is>
          <t>GV.RR-02</t>
        </is>
      </c>
      <c r="E19" s="14" t="inlineStr">
        <is>
          <t>Roles and responsibilities assigned</t>
        </is>
      </c>
      <c r="F19" s="16" t="inlineStr"/>
      <c r="G19" s="16" t="inlineStr"/>
      <c r="H19" s="18" t="inlineStr"/>
    </row>
    <row r="20" ht="18" customHeight="1">
      <c r="A20" s="12" t="inlineStr"/>
      <c r="B20" s="13" t="inlineStr">
        <is>
          <t>GOVERN</t>
        </is>
      </c>
      <c r="C20" s="14" t="inlineStr">
        <is>
          <t>Roles, Responsibilities &amp; Authorities</t>
        </is>
      </c>
      <c r="D20" s="15" t="inlineStr">
        <is>
          <t>GV.RR-03</t>
        </is>
      </c>
      <c r="E20" s="14" t="inlineStr">
        <is>
          <t>Adequate resources allocated</t>
        </is>
      </c>
      <c r="F20" s="16" t="inlineStr"/>
      <c r="G20" s="16" t="inlineStr"/>
      <c r="H20" s="17" t="inlineStr"/>
    </row>
    <row r="21" ht="18" customHeight="1">
      <c r="A21" s="12" t="inlineStr"/>
      <c r="B21" s="13" t="inlineStr">
        <is>
          <t>GOVERN</t>
        </is>
      </c>
      <c r="C21" s="14" t="inlineStr">
        <is>
          <t>Roles, Responsibilities &amp; Authorities</t>
        </is>
      </c>
      <c r="D21" s="15" t="inlineStr">
        <is>
          <t>GV.RR-04</t>
        </is>
      </c>
      <c r="E21" s="14" t="inlineStr">
        <is>
          <t>Cybersecurity communicated across organization</t>
        </is>
      </c>
      <c r="F21" s="16" t="inlineStr"/>
      <c r="G21" s="16" t="inlineStr"/>
      <c r="H21" s="18" t="inlineStr"/>
    </row>
    <row r="22" ht="18" customHeight="1">
      <c r="A22" s="12" t="inlineStr"/>
      <c r="B22" s="13" t="inlineStr">
        <is>
          <t>GOVERN</t>
        </is>
      </c>
      <c r="C22" s="14" t="inlineStr">
        <is>
          <t>Policy</t>
        </is>
      </c>
      <c r="D22" s="15" t="inlineStr">
        <is>
          <t>GV.PO-01</t>
        </is>
      </c>
      <c r="E22" s="14" t="inlineStr">
        <is>
          <t>Cybersecurity policy established and enforced</t>
        </is>
      </c>
      <c r="F22" s="16" t="inlineStr"/>
      <c r="G22" s="16" t="inlineStr"/>
      <c r="H22" s="17" t="inlineStr"/>
    </row>
    <row r="23" ht="18" customHeight="1">
      <c r="A23" s="12" t="inlineStr"/>
      <c r="B23" s="13" t="inlineStr">
        <is>
          <t>GOVERN</t>
        </is>
      </c>
      <c r="C23" s="14" t="inlineStr">
        <is>
          <t>Policy</t>
        </is>
      </c>
      <c r="D23" s="15" t="inlineStr">
        <is>
          <t>GV.PO-02</t>
        </is>
      </c>
      <c r="E23" s="14" t="inlineStr">
        <is>
          <t>Policy reviewed and updated</t>
        </is>
      </c>
      <c r="F23" s="16" t="inlineStr"/>
      <c r="G23" s="16" t="inlineStr"/>
      <c r="H23" s="18" t="inlineStr"/>
    </row>
    <row r="24" ht="18" customHeight="1">
      <c r="A24" s="12" t="inlineStr"/>
      <c r="B24" s="13" t="inlineStr">
        <is>
          <t>GOVERN</t>
        </is>
      </c>
      <c r="C24" s="14" t="inlineStr">
        <is>
          <t>Oversight</t>
        </is>
      </c>
      <c r="D24" s="15" t="inlineStr">
        <is>
          <t>GV.OV-01</t>
        </is>
      </c>
      <c r="E24" s="14" t="inlineStr">
        <is>
          <t>Cybersecurity review outcomes inform risk management</t>
        </is>
      </c>
      <c r="F24" s="16" t="inlineStr"/>
      <c r="G24" s="16" t="inlineStr"/>
      <c r="H24" s="17" t="inlineStr"/>
    </row>
    <row r="25" ht="18" customHeight="1">
      <c r="A25" s="12" t="inlineStr"/>
      <c r="B25" s="13" t="inlineStr">
        <is>
          <t>GOVERN</t>
        </is>
      </c>
      <c r="C25" s="14" t="inlineStr">
        <is>
          <t>Oversight</t>
        </is>
      </c>
      <c r="D25" s="15" t="inlineStr">
        <is>
          <t>GV.OV-02</t>
        </is>
      </c>
      <c r="E25" s="14" t="inlineStr">
        <is>
          <t>Cybersecurity strategy reviewed and adjusted</t>
        </is>
      </c>
      <c r="F25" s="16" t="inlineStr"/>
      <c r="G25" s="16" t="inlineStr"/>
      <c r="H25" s="18" t="inlineStr"/>
    </row>
    <row r="26" ht="18" customHeight="1">
      <c r="A26" s="12" t="inlineStr"/>
      <c r="B26" s="13" t="inlineStr">
        <is>
          <t>GOVERN</t>
        </is>
      </c>
      <c r="C26" s="14" t="inlineStr">
        <is>
          <t>Oversight</t>
        </is>
      </c>
      <c r="D26" s="15" t="inlineStr">
        <is>
          <t>GV.OV-03</t>
        </is>
      </c>
      <c r="E26" s="14" t="inlineStr">
        <is>
          <t>Organizational results communicated to stakeholders</t>
        </is>
      </c>
      <c r="F26" s="16" t="inlineStr"/>
      <c r="G26" s="16" t="inlineStr"/>
      <c r="H26" s="17" t="inlineStr"/>
    </row>
    <row r="27" ht="18" customHeight="1">
      <c r="A27" s="12" t="inlineStr"/>
      <c r="B27" s="13" t="inlineStr">
        <is>
          <t>GOVERN</t>
        </is>
      </c>
      <c r="C27" s="14" t="inlineStr">
        <is>
          <t>Supply Chain Risk Management</t>
        </is>
      </c>
      <c r="D27" s="15" t="inlineStr">
        <is>
          <t>GV.SC-01</t>
        </is>
      </c>
      <c r="E27" s="14" t="inlineStr">
        <is>
          <t>Supply chain risk management program established</t>
        </is>
      </c>
      <c r="F27" s="16" t="inlineStr"/>
      <c r="G27" s="16" t="inlineStr"/>
      <c r="H27" s="18" t="inlineStr"/>
    </row>
    <row r="28" ht="18" customHeight="1">
      <c r="A28" s="12" t="inlineStr"/>
      <c r="B28" s="13" t="inlineStr">
        <is>
          <t>GOVERN</t>
        </is>
      </c>
      <c r="C28" s="14" t="inlineStr">
        <is>
          <t>Supply Chain Risk Management</t>
        </is>
      </c>
      <c r="D28" s="15" t="inlineStr">
        <is>
          <t>GV.SC-02</t>
        </is>
      </c>
      <c r="E28" s="14" t="inlineStr">
        <is>
          <t>Suppliers identified, prioritized, and assessed</t>
        </is>
      </c>
      <c r="F28" s="16" t="inlineStr"/>
      <c r="G28" s="16" t="inlineStr"/>
      <c r="H28" s="17" t="inlineStr"/>
    </row>
    <row r="29" ht="18" customHeight="1">
      <c r="A29" s="12" t="inlineStr"/>
      <c r="B29" s="13" t="inlineStr">
        <is>
          <t>GOVERN</t>
        </is>
      </c>
      <c r="C29" s="14" t="inlineStr">
        <is>
          <t>Supply Chain Risk Management</t>
        </is>
      </c>
      <c r="D29" s="15" t="inlineStr">
        <is>
          <t>GV.SC-03</t>
        </is>
      </c>
      <c r="E29" s="14" t="inlineStr">
        <is>
          <t>Contracts require cybersecurity requirements</t>
        </is>
      </c>
      <c r="F29" s="16" t="inlineStr"/>
      <c r="G29" s="16" t="inlineStr"/>
      <c r="H29" s="18" t="inlineStr"/>
    </row>
    <row r="30" ht="18" customHeight="1">
      <c r="A30" s="12" t="inlineStr"/>
      <c r="B30" s="13" t="inlineStr">
        <is>
          <t>GOVERN</t>
        </is>
      </c>
      <c r="C30" s="14" t="inlineStr">
        <is>
          <t>Supply Chain Risk Management</t>
        </is>
      </c>
      <c r="D30" s="15" t="inlineStr">
        <is>
          <t>GV.SC-04</t>
        </is>
      </c>
      <c r="E30" s="14" t="inlineStr">
        <is>
          <t>Suppliers routinely assessed</t>
        </is>
      </c>
      <c r="F30" s="16" t="inlineStr"/>
      <c r="G30" s="16" t="inlineStr"/>
      <c r="H30" s="17" t="inlineStr"/>
    </row>
    <row r="31" ht="18" customHeight="1">
      <c r="A31" s="12" t="inlineStr"/>
      <c r="B31" s="13" t="inlineStr">
        <is>
          <t>GOVERN</t>
        </is>
      </c>
      <c r="C31" s="14" t="inlineStr">
        <is>
          <t>Supply Chain Risk Management</t>
        </is>
      </c>
      <c r="D31" s="15" t="inlineStr">
        <is>
          <t>GV.SC-05</t>
        </is>
      </c>
      <c r="E31" s="14" t="inlineStr">
        <is>
          <t>Response plans for supply chain incidents</t>
        </is>
      </c>
      <c r="F31" s="16" t="inlineStr"/>
      <c r="G31" s="16" t="inlineStr"/>
      <c r="H31" s="18" t="inlineStr"/>
    </row>
    <row r="32" ht="18" customHeight="1">
      <c r="A32" s="12" t="inlineStr"/>
      <c r="B32" s="13" t="inlineStr">
        <is>
          <t>GOVERN</t>
        </is>
      </c>
      <c r="C32" s="14" t="inlineStr">
        <is>
          <t>Supply Chain Risk Management</t>
        </is>
      </c>
      <c r="D32" s="15" t="inlineStr">
        <is>
          <t>GV.SC-06</t>
        </is>
      </c>
      <c r="E32" s="14" t="inlineStr">
        <is>
          <t>Software integrity verified (SBOM)</t>
        </is>
      </c>
      <c r="F32" s="16" t="inlineStr"/>
      <c r="G32" s="16" t="inlineStr"/>
      <c r="H32" s="17" t="inlineStr"/>
    </row>
    <row r="33" ht="18" customHeight="1">
      <c r="A33" s="12" t="inlineStr"/>
      <c r="B33" s="13" t="inlineStr">
        <is>
          <t>GOVERN</t>
        </is>
      </c>
      <c r="C33" s="14" t="inlineStr">
        <is>
          <t>Supply Chain Risk Management</t>
        </is>
      </c>
      <c r="D33" s="15" t="inlineStr">
        <is>
          <t>GV.SC-07</t>
        </is>
      </c>
      <c r="E33" s="14" t="inlineStr">
        <is>
          <t>Risks of acquired components understood</t>
        </is>
      </c>
      <c r="F33" s="16" t="inlineStr"/>
      <c r="G33" s="16" t="inlineStr"/>
      <c r="H33" s="18" t="inlineStr"/>
    </row>
    <row r="34" ht="18" customHeight="1">
      <c r="A34" s="12" t="inlineStr"/>
      <c r="B34" s="13" t="inlineStr">
        <is>
          <t>GOVERN</t>
        </is>
      </c>
      <c r="C34" s="14" t="inlineStr">
        <is>
          <t>Supply Chain Risk Management</t>
        </is>
      </c>
      <c r="D34" s="15" t="inlineStr">
        <is>
          <t>GV.SC-08</t>
        </is>
      </c>
      <c r="E34" s="14" t="inlineStr">
        <is>
          <t>Risks of managed services understood</t>
        </is>
      </c>
      <c r="F34" s="16" t="inlineStr"/>
      <c r="G34" s="16" t="inlineStr"/>
      <c r="H34" s="17" t="inlineStr"/>
    </row>
    <row r="35" ht="18" customHeight="1">
      <c r="A35" s="12" t="inlineStr"/>
      <c r="B35" s="13" t="inlineStr">
        <is>
          <t>GOVERN</t>
        </is>
      </c>
      <c r="C35" s="14" t="inlineStr">
        <is>
          <t>Supply Chain Risk Management</t>
        </is>
      </c>
      <c r="D35" s="15" t="inlineStr">
        <is>
          <t>GV.SC-09</t>
        </is>
      </c>
      <c r="E35" s="14" t="inlineStr">
        <is>
          <t>Security requirements in acquisition contracts</t>
        </is>
      </c>
      <c r="F35" s="16" t="inlineStr"/>
      <c r="G35" s="16" t="inlineStr"/>
      <c r="H35" s="18" t="inlineStr"/>
    </row>
    <row r="36" ht="18" customHeight="1">
      <c r="A36" s="12" t="inlineStr"/>
      <c r="B36" s="13" t="inlineStr">
        <is>
          <t>GOVERN</t>
        </is>
      </c>
      <c r="C36" s="14" t="inlineStr">
        <is>
          <t>Supply Chain Risk Management</t>
        </is>
      </c>
      <c r="D36" s="15" t="inlineStr">
        <is>
          <t>GV.SC-10</t>
        </is>
      </c>
      <c r="E36" s="14" t="inlineStr">
        <is>
          <t>Supply chain effectiveness reviewed</t>
        </is>
      </c>
      <c r="F36" s="16" t="inlineStr"/>
      <c r="G36" s="16" t="inlineStr"/>
      <c r="H36" s="17" t="inlineStr"/>
    </row>
    <row r="37" ht="6" customHeight="1"/>
    <row r="38" ht="22" customHeight="1">
      <c r="B38" s="19" t="inlineStr">
        <is>
          <t>▶  IDENTIFY (ID)</t>
        </is>
      </c>
    </row>
    <row r="39" ht="18" customHeight="1">
      <c r="A39" s="12" t="inlineStr"/>
      <c r="B39" s="20" t="inlineStr">
        <is>
          <t>IDENTIFY</t>
        </is>
      </c>
      <c r="C39" s="14" t="inlineStr">
        <is>
          <t>Asset Management</t>
        </is>
      </c>
      <c r="D39" s="15" t="inlineStr">
        <is>
          <t>ID.AM-01</t>
        </is>
      </c>
      <c r="E39" s="14" t="inlineStr">
        <is>
          <t>Hardware asset inventory maintained</t>
        </is>
      </c>
      <c r="F39" s="16" t="inlineStr"/>
      <c r="G39" s="16" t="inlineStr"/>
      <c r="H39" s="18" t="inlineStr"/>
    </row>
    <row r="40" ht="18" customHeight="1">
      <c r="A40" s="12" t="inlineStr"/>
      <c r="B40" s="20" t="inlineStr">
        <is>
          <t>IDENTIFY</t>
        </is>
      </c>
      <c r="C40" s="14" t="inlineStr">
        <is>
          <t>Asset Management</t>
        </is>
      </c>
      <c r="D40" s="15" t="inlineStr">
        <is>
          <t>ID.AM-02</t>
        </is>
      </c>
      <c r="E40" s="14" t="inlineStr">
        <is>
          <t>Software asset inventory maintained</t>
        </is>
      </c>
      <c r="F40" s="16" t="inlineStr"/>
      <c r="G40" s="16" t="inlineStr"/>
      <c r="H40" s="17" t="inlineStr"/>
    </row>
    <row r="41" ht="18" customHeight="1">
      <c r="A41" s="12" t="inlineStr"/>
      <c r="B41" s="20" t="inlineStr">
        <is>
          <t>IDENTIFY</t>
        </is>
      </c>
      <c r="C41" s="14" t="inlineStr">
        <is>
          <t>Asset Management</t>
        </is>
      </c>
      <c r="D41" s="15" t="inlineStr">
        <is>
          <t>ID.AM-03</t>
        </is>
      </c>
      <c r="E41" s="14" t="inlineStr">
        <is>
          <t>Network and data flow inventory maintained</t>
        </is>
      </c>
      <c r="F41" s="16" t="inlineStr"/>
      <c r="G41" s="16" t="inlineStr"/>
      <c r="H41" s="18" t="inlineStr"/>
    </row>
    <row r="42" ht="18" customHeight="1">
      <c r="A42" s="12" t="inlineStr"/>
      <c r="B42" s="20" t="inlineStr">
        <is>
          <t>IDENTIFY</t>
        </is>
      </c>
      <c r="C42" s="14" t="inlineStr">
        <is>
          <t>Asset Management</t>
        </is>
      </c>
      <c r="D42" s="15" t="inlineStr">
        <is>
          <t>ID.AM-04</t>
        </is>
      </c>
      <c r="E42" s="14" t="inlineStr">
        <is>
          <t>Service inventory maintained</t>
        </is>
      </c>
      <c r="F42" s="16" t="inlineStr"/>
      <c r="G42" s="16" t="inlineStr"/>
      <c r="H42" s="17" t="inlineStr"/>
    </row>
    <row r="43" ht="18" customHeight="1">
      <c r="A43" s="12" t="inlineStr"/>
      <c r="B43" s="20" t="inlineStr">
        <is>
          <t>IDENTIFY</t>
        </is>
      </c>
      <c r="C43" s="14" t="inlineStr">
        <is>
          <t>Asset Management</t>
        </is>
      </c>
      <c r="D43" s="15" t="inlineStr">
        <is>
          <t>ID.AM-05</t>
        </is>
      </c>
      <c r="E43" s="14" t="inlineStr">
        <is>
          <t>Assets prioritized by criticality</t>
        </is>
      </c>
      <c r="F43" s="16" t="inlineStr"/>
      <c r="G43" s="16" t="inlineStr"/>
      <c r="H43" s="18" t="inlineStr"/>
    </row>
    <row r="44" ht="18" customHeight="1">
      <c r="A44" s="12" t="inlineStr"/>
      <c r="B44" s="20" t="inlineStr">
        <is>
          <t>IDENTIFY</t>
        </is>
      </c>
      <c r="C44" s="14" t="inlineStr">
        <is>
          <t>Asset Management</t>
        </is>
      </c>
      <c r="D44" s="15" t="inlineStr">
        <is>
          <t>ID.AM-07</t>
        </is>
      </c>
      <c r="E44" s="14" t="inlineStr">
        <is>
          <t>Data and data types inventoried</t>
        </is>
      </c>
      <c r="F44" s="16" t="inlineStr"/>
      <c r="G44" s="16" t="inlineStr"/>
      <c r="H44" s="17" t="inlineStr"/>
    </row>
    <row r="45" ht="18" customHeight="1">
      <c r="A45" s="12" t="inlineStr"/>
      <c r="B45" s="20" t="inlineStr">
        <is>
          <t>IDENTIFY</t>
        </is>
      </c>
      <c r="C45" s="14" t="inlineStr">
        <is>
          <t>Asset Management</t>
        </is>
      </c>
      <c r="D45" s="15" t="inlineStr">
        <is>
          <t>ID.AM-08</t>
        </is>
      </c>
      <c r="E45" s="14" t="inlineStr">
        <is>
          <t>Assets managed through lifecycle</t>
        </is>
      </c>
      <c r="F45" s="16" t="inlineStr"/>
      <c r="G45" s="16" t="inlineStr"/>
      <c r="H45" s="18" t="inlineStr"/>
    </row>
    <row r="46" ht="18" customHeight="1">
      <c r="A46" s="12" t="inlineStr"/>
      <c r="B46" s="20" t="inlineStr">
        <is>
          <t>IDENTIFY</t>
        </is>
      </c>
      <c r="C46" s="14" t="inlineStr">
        <is>
          <t>Risk Assessment</t>
        </is>
      </c>
      <c r="D46" s="15" t="inlineStr">
        <is>
          <t>ID.RA-01</t>
        </is>
      </c>
      <c r="E46" s="14" t="inlineStr">
        <is>
          <t>Vulnerabilities identified and validated</t>
        </is>
      </c>
      <c r="F46" s="16" t="inlineStr"/>
      <c r="G46" s="16" t="inlineStr"/>
      <c r="H46" s="17" t="inlineStr"/>
    </row>
    <row r="47" ht="18" customHeight="1">
      <c r="A47" s="12" t="inlineStr"/>
      <c r="B47" s="20" t="inlineStr">
        <is>
          <t>IDENTIFY</t>
        </is>
      </c>
      <c r="C47" s="14" t="inlineStr">
        <is>
          <t>Risk Assessment</t>
        </is>
      </c>
      <c r="D47" s="15" t="inlineStr">
        <is>
          <t>ID.RA-02</t>
        </is>
      </c>
      <c r="E47" s="14" t="inlineStr">
        <is>
          <t>Threat intelligence received</t>
        </is>
      </c>
      <c r="F47" s="16" t="inlineStr"/>
      <c r="G47" s="16" t="inlineStr"/>
      <c r="H47" s="18" t="inlineStr"/>
    </row>
    <row r="48" ht="18" customHeight="1">
      <c r="A48" s="12" t="inlineStr"/>
      <c r="B48" s="20" t="inlineStr">
        <is>
          <t>IDENTIFY</t>
        </is>
      </c>
      <c r="C48" s="14" t="inlineStr">
        <is>
          <t>Risk Assessment</t>
        </is>
      </c>
      <c r="D48" s="15" t="inlineStr">
        <is>
          <t>ID.RA-03</t>
        </is>
      </c>
      <c r="E48" s="14" t="inlineStr">
        <is>
          <t>Internal/external threats identified</t>
        </is>
      </c>
      <c r="F48" s="16" t="inlineStr"/>
      <c r="G48" s="16" t="inlineStr"/>
      <c r="H48" s="17" t="inlineStr"/>
    </row>
    <row r="49" ht="18" customHeight="1">
      <c r="A49" s="12" t="inlineStr"/>
      <c r="B49" s="20" t="inlineStr">
        <is>
          <t>IDENTIFY</t>
        </is>
      </c>
      <c r="C49" s="14" t="inlineStr">
        <is>
          <t>Risk Assessment</t>
        </is>
      </c>
      <c r="D49" s="15" t="inlineStr">
        <is>
          <t>ID.RA-04</t>
        </is>
      </c>
      <c r="E49" s="14" t="inlineStr">
        <is>
          <t>Impacts and likelihoods considered</t>
        </is>
      </c>
      <c r="F49" s="16" t="inlineStr"/>
      <c r="G49" s="16" t="inlineStr"/>
      <c r="H49" s="18" t="inlineStr"/>
    </row>
    <row r="50" ht="18" customHeight="1">
      <c r="A50" s="12" t="inlineStr"/>
      <c r="B50" s="20" t="inlineStr">
        <is>
          <t>IDENTIFY</t>
        </is>
      </c>
      <c r="C50" s="14" t="inlineStr">
        <is>
          <t>Risk Assessment</t>
        </is>
      </c>
      <c r="D50" s="15" t="inlineStr">
        <is>
          <t>ID.RA-05</t>
        </is>
      </c>
      <c r="E50" s="14" t="inlineStr">
        <is>
          <t>Risk understood from threats/vulnerabilities</t>
        </is>
      </c>
      <c r="F50" s="16" t="inlineStr"/>
      <c r="G50" s="16" t="inlineStr"/>
      <c r="H50" s="17" t="inlineStr"/>
    </row>
    <row r="51" ht="18" customHeight="1">
      <c r="A51" s="12" t="inlineStr"/>
      <c r="B51" s="20" t="inlineStr">
        <is>
          <t>IDENTIFY</t>
        </is>
      </c>
      <c r="C51" s="14" t="inlineStr">
        <is>
          <t>Risk Assessment</t>
        </is>
      </c>
      <c r="D51" s="15" t="inlineStr">
        <is>
          <t>ID.RA-06</t>
        </is>
      </c>
      <c r="E51" s="14" t="inlineStr">
        <is>
          <t>Risk responses chosen and tracked</t>
        </is>
      </c>
      <c r="F51" s="16" t="inlineStr"/>
      <c r="G51" s="16" t="inlineStr"/>
      <c r="H51" s="18" t="inlineStr"/>
    </row>
    <row r="52" ht="18" customHeight="1">
      <c r="A52" s="12" t="inlineStr"/>
      <c r="B52" s="20" t="inlineStr">
        <is>
          <t>IDENTIFY</t>
        </is>
      </c>
      <c r="C52" s="14" t="inlineStr">
        <is>
          <t>Risk Assessment</t>
        </is>
      </c>
      <c r="D52" s="15" t="inlineStr">
        <is>
          <t>ID.RA-07</t>
        </is>
      </c>
      <c r="E52" s="14" t="inlineStr">
        <is>
          <t>Changes and exceptions managed</t>
        </is>
      </c>
      <c r="F52" s="16" t="inlineStr"/>
      <c r="G52" s="16" t="inlineStr"/>
      <c r="H52" s="17" t="inlineStr"/>
    </row>
    <row r="53" ht="18" customHeight="1">
      <c r="A53" s="12" t="inlineStr"/>
      <c r="B53" s="20" t="inlineStr">
        <is>
          <t>IDENTIFY</t>
        </is>
      </c>
      <c r="C53" s="14" t="inlineStr">
        <is>
          <t>Risk Assessment</t>
        </is>
      </c>
      <c r="D53" s="15" t="inlineStr">
        <is>
          <t>ID.RA-08</t>
        </is>
      </c>
      <c r="E53" s="14" t="inlineStr">
        <is>
          <t>Vulnerability disclosure processes established</t>
        </is>
      </c>
      <c r="F53" s="16" t="inlineStr"/>
      <c r="G53" s="16" t="inlineStr"/>
      <c r="H53" s="18" t="inlineStr"/>
    </row>
    <row r="54" ht="18" customHeight="1">
      <c r="A54" s="12" t="inlineStr"/>
      <c r="B54" s="20" t="inlineStr">
        <is>
          <t>IDENTIFY</t>
        </is>
      </c>
      <c r="C54" s="14" t="inlineStr">
        <is>
          <t>Risk Assessment</t>
        </is>
      </c>
      <c r="D54" s="15" t="inlineStr">
        <is>
          <t>ID.RA-09</t>
        </is>
      </c>
      <c r="E54" s="14" t="inlineStr">
        <is>
          <t>Software and hardware authenticity verified</t>
        </is>
      </c>
      <c r="F54" s="16" t="inlineStr"/>
      <c r="G54" s="16" t="inlineStr"/>
      <c r="H54" s="17" t="inlineStr"/>
    </row>
    <row r="55" ht="18" customHeight="1">
      <c r="A55" s="12" t="inlineStr"/>
      <c r="B55" s="20" t="inlineStr">
        <is>
          <t>IDENTIFY</t>
        </is>
      </c>
      <c r="C55" s="14" t="inlineStr">
        <is>
          <t>Risk Assessment</t>
        </is>
      </c>
      <c r="D55" s="15" t="inlineStr">
        <is>
          <t>ID.RA-10</t>
        </is>
      </c>
      <c r="E55" s="14" t="inlineStr">
        <is>
          <t>Critical suppliers assessed pre-contract</t>
        </is>
      </c>
      <c r="F55" s="16" t="inlineStr"/>
      <c r="G55" s="16" t="inlineStr"/>
      <c r="H55" s="18" t="inlineStr"/>
    </row>
    <row r="56" ht="18" customHeight="1">
      <c r="A56" s="12" t="inlineStr"/>
      <c r="B56" s="20" t="inlineStr">
        <is>
          <t>IDENTIFY</t>
        </is>
      </c>
      <c r="C56" s="14" t="inlineStr">
        <is>
          <t>Improvement</t>
        </is>
      </c>
      <c r="D56" s="15" t="inlineStr">
        <is>
          <t>ID.IM-01</t>
        </is>
      </c>
      <c r="E56" s="14" t="inlineStr">
        <is>
          <t>Improvements identified from evaluations</t>
        </is>
      </c>
      <c r="F56" s="16" t="inlineStr"/>
      <c r="G56" s="16" t="inlineStr"/>
      <c r="H56" s="17" t="inlineStr"/>
    </row>
    <row r="57" ht="18" customHeight="1">
      <c r="A57" s="12" t="inlineStr"/>
      <c r="B57" s="20" t="inlineStr">
        <is>
          <t>IDENTIFY</t>
        </is>
      </c>
      <c r="C57" s="14" t="inlineStr">
        <is>
          <t>Improvement</t>
        </is>
      </c>
      <c r="D57" s="15" t="inlineStr">
        <is>
          <t>ID.IM-02</t>
        </is>
      </c>
      <c r="E57" s="14" t="inlineStr">
        <is>
          <t>Improvements identified from security tests</t>
        </is>
      </c>
      <c r="F57" s="16" t="inlineStr"/>
      <c r="G57" s="16" t="inlineStr"/>
      <c r="H57" s="18" t="inlineStr"/>
    </row>
    <row r="58" ht="18" customHeight="1">
      <c r="A58" s="12" t="inlineStr"/>
      <c r="B58" s="20" t="inlineStr">
        <is>
          <t>IDENTIFY</t>
        </is>
      </c>
      <c r="C58" s="14" t="inlineStr">
        <is>
          <t>Improvement</t>
        </is>
      </c>
      <c r="D58" s="15" t="inlineStr">
        <is>
          <t>ID.IM-03</t>
        </is>
      </c>
      <c r="E58" s="14" t="inlineStr">
        <is>
          <t>Improvements from operational processes</t>
        </is>
      </c>
      <c r="F58" s="16" t="inlineStr"/>
      <c r="G58" s="16" t="inlineStr"/>
      <c r="H58" s="17" t="inlineStr"/>
    </row>
    <row r="59" ht="18" customHeight="1">
      <c r="A59" s="12" t="inlineStr"/>
      <c r="B59" s="20" t="inlineStr">
        <is>
          <t>IDENTIFY</t>
        </is>
      </c>
      <c r="C59" s="14" t="inlineStr">
        <is>
          <t>Improvement</t>
        </is>
      </c>
      <c r="D59" s="15" t="inlineStr">
        <is>
          <t>ID.IM-04</t>
        </is>
      </c>
      <c r="E59" s="14" t="inlineStr">
        <is>
          <t>Incident response evaluated and documented</t>
        </is>
      </c>
      <c r="F59" s="16" t="inlineStr"/>
      <c r="G59" s="16" t="inlineStr"/>
      <c r="H59" s="18" t="inlineStr"/>
    </row>
    <row r="60" ht="6" customHeight="1"/>
    <row r="61" ht="22" customHeight="1">
      <c r="B61" s="21" t="inlineStr">
        <is>
          <t>▶  PROTECT (PR)</t>
        </is>
      </c>
    </row>
    <row r="62" ht="18" customHeight="1">
      <c r="A62" s="12" t="inlineStr"/>
      <c r="B62" s="22" t="inlineStr">
        <is>
          <t>PROTECT</t>
        </is>
      </c>
      <c r="C62" s="23" t="inlineStr">
        <is>
          <t>Identity Mgmt, Auth &amp; Access Control</t>
        </is>
      </c>
      <c r="D62" s="24" t="inlineStr">
        <is>
          <t>PR.AA-01</t>
        </is>
      </c>
      <c r="E62" s="23" t="inlineStr">
        <is>
          <t>User, service, and hardware identities managed</t>
        </is>
      </c>
      <c r="F62" s="16" t="inlineStr"/>
      <c r="G62" s="16" t="inlineStr"/>
      <c r="H62" s="17" t="inlineStr"/>
    </row>
    <row r="63" ht="18" customHeight="1">
      <c r="A63" s="12" t="inlineStr"/>
      <c r="B63" s="22" t="inlineStr">
        <is>
          <t>PROTECT</t>
        </is>
      </c>
      <c r="C63" s="23" t="inlineStr">
        <is>
          <t>Identity Mgmt, Auth &amp; Access Control</t>
        </is>
      </c>
      <c r="D63" s="24" t="inlineStr">
        <is>
          <t>PR.AA-02</t>
        </is>
      </c>
      <c r="E63" s="23" t="inlineStr">
        <is>
          <t>Identities proofed and bound to credentials</t>
        </is>
      </c>
      <c r="F63" s="16" t="inlineStr"/>
      <c r="G63" s="16" t="inlineStr"/>
      <c r="H63" s="18" t="inlineStr"/>
    </row>
    <row r="64" ht="18" customHeight="1">
      <c r="A64" s="12" t="inlineStr"/>
      <c r="B64" s="22" t="inlineStr">
        <is>
          <t>PROTECT</t>
        </is>
      </c>
      <c r="C64" s="23" t="inlineStr">
        <is>
          <t>Identity Mgmt, Auth &amp; Access Control</t>
        </is>
      </c>
      <c r="D64" s="24" t="inlineStr">
        <is>
          <t>PR.AA-03</t>
        </is>
      </c>
      <c r="E64" s="23" t="inlineStr">
        <is>
          <t>Users and services authenticated (MFA)</t>
        </is>
      </c>
      <c r="F64" s="16" t="inlineStr"/>
      <c r="G64" s="16" t="inlineStr"/>
      <c r="H64" s="17" t="inlineStr"/>
    </row>
    <row r="65" ht="18" customHeight="1">
      <c r="A65" s="12" t="inlineStr"/>
      <c r="B65" s="22" t="inlineStr">
        <is>
          <t>PROTECT</t>
        </is>
      </c>
      <c r="C65" s="23" t="inlineStr">
        <is>
          <t>Identity Mgmt, Auth &amp; Access Control</t>
        </is>
      </c>
      <c r="D65" s="24" t="inlineStr">
        <is>
          <t>PR.AA-04</t>
        </is>
      </c>
      <c r="E65" s="23" t="inlineStr">
        <is>
          <t>Identity assertions protected</t>
        </is>
      </c>
      <c r="F65" s="16" t="inlineStr"/>
      <c r="G65" s="16" t="inlineStr"/>
      <c r="H65" s="18" t="inlineStr"/>
    </row>
    <row r="66" ht="18" customHeight="1">
      <c r="A66" s="12" t="inlineStr"/>
      <c r="B66" s="22" t="inlineStr">
        <is>
          <t>PROTECT</t>
        </is>
      </c>
      <c r="C66" s="23" t="inlineStr">
        <is>
          <t>Identity Mgmt, Auth &amp; Access Control</t>
        </is>
      </c>
      <c r="D66" s="24" t="inlineStr">
        <is>
          <t>PR.AA-05</t>
        </is>
      </c>
      <c r="E66" s="23" t="inlineStr">
        <is>
          <t>Access permissions and authorizations managed</t>
        </is>
      </c>
      <c r="F66" s="16" t="inlineStr"/>
      <c r="G66" s="16" t="inlineStr"/>
      <c r="H66" s="17" t="inlineStr"/>
    </row>
    <row r="67" ht="18" customHeight="1">
      <c r="A67" s="12" t="inlineStr"/>
      <c r="B67" s="22" t="inlineStr">
        <is>
          <t>PROTECT</t>
        </is>
      </c>
      <c r="C67" s="23" t="inlineStr">
        <is>
          <t>Identity Mgmt, Auth &amp; Access Control</t>
        </is>
      </c>
      <c r="D67" s="24" t="inlineStr">
        <is>
          <t>PR.AA-06</t>
        </is>
      </c>
      <c r="E67" s="23" t="inlineStr">
        <is>
          <t>Physical access controlled</t>
        </is>
      </c>
      <c r="F67" s="16" t="inlineStr"/>
      <c r="G67" s="16" t="inlineStr"/>
      <c r="H67" s="18" t="inlineStr"/>
    </row>
    <row r="68" ht="18" customHeight="1">
      <c r="A68" s="12" t="inlineStr"/>
      <c r="B68" s="22" t="inlineStr">
        <is>
          <t>PROTECT</t>
        </is>
      </c>
      <c r="C68" s="23" t="inlineStr">
        <is>
          <t>Awareness and Training</t>
        </is>
      </c>
      <c r="D68" s="24" t="inlineStr">
        <is>
          <t>PR.AT-01</t>
        </is>
      </c>
      <c r="E68" s="23" t="inlineStr">
        <is>
          <t>Awareness and training provided to all personnel</t>
        </is>
      </c>
      <c r="F68" s="16" t="inlineStr"/>
      <c r="G68" s="16" t="inlineStr"/>
      <c r="H68" s="17" t="inlineStr"/>
    </row>
    <row r="69" ht="18" customHeight="1">
      <c r="A69" s="12" t="inlineStr"/>
      <c r="B69" s="22" t="inlineStr">
        <is>
          <t>PROTECT</t>
        </is>
      </c>
      <c r="C69" s="23" t="inlineStr">
        <is>
          <t>Awareness and Training</t>
        </is>
      </c>
      <c r="D69" s="24" t="inlineStr">
        <is>
          <t>PR.AT-02</t>
        </is>
      </c>
      <c r="E69" s="23" t="inlineStr">
        <is>
          <t>Specialized role training provided</t>
        </is>
      </c>
      <c r="F69" s="16" t="inlineStr"/>
      <c r="G69" s="16" t="inlineStr"/>
      <c r="H69" s="18" t="inlineStr"/>
    </row>
    <row r="70" ht="18" customHeight="1">
      <c r="A70" s="12" t="inlineStr"/>
      <c r="B70" s="22" t="inlineStr">
        <is>
          <t>PROTECT</t>
        </is>
      </c>
      <c r="C70" s="23" t="inlineStr">
        <is>
          <t>Data Security</t>
        </is>
      </c>
      <c r="D70" s="24" t="inlineStr">
        <is>
          <t>PR.DS-01</t>
        </is>
      </c>
      <c r="E70" s="23" t="inlineStr">
        <is>
          <t>Data-at-rest protected</t>
        </is>
      </c>
      <c r="F70" s="16" t="inlineStr"/>
      <c r="G70" s="16" t="inlineStr"/>
      <c r="H70" s="17" t="inlineStr"/>
    </row>
    <row r="71" ht="18" customHeight="1">
      <c r="A71" s="12" t="inlineStr"/>
      <c r="B71" s="22" t="inlineStr">
        <is>
          <t>PROTECT</t>
        </is>
      </c>
      <c r="C71" s="23" t="inlineStr">
        <is>
          <t>Data Security</t>
        </is>
      </c>
      <c r="D71" s="24" t="inlineStr">
        <is>
          <t>PR.DS-02</t>
        </is>
      </c>
      <c r="E71" s="23" t="inlineStr">
        <is>
          <t>Data-in-transit protected</t>
        </is>
      </c>
      <c r="F71" s="16" t="inlineStr"/>
      <c r="G71" s="16" t="inlineStr"/>
      <c r="H71" s="18" t="inlineStr"/>
    </row>
    <row r="72" ht="18" customHeight="1">
      <c r="A72" s="12" t="inlineStr"/>
      <c r="B72" s="22" t="inlineStr">
        <is>
          <t>PROTECT</t>
        </is>
      </c>
      <c r="C72" s="23" t="inlineStr">
        <is>
          <t>Data Security</t>
        </is>
      </c>
      <c r="D72" s="24" t="inlineStr">
        <is>
          <t>PR.DS-10</t>
        </is>
      </c>
      <c r="E72" s="23" t="inlineStr">
        <is>
          <t>Data-in-use protected</t>
        </is>
      </c>
      <c r="F72" s="16" t="inlineStr"/>
      <c r="G72" s="16" t="inlineStr"/>
      <c r="H72" s="17" t="inlineStr"/>
    </row>
    <row r="73" ht="18" customHeight="1">
      <c r="A73" s="12" t="inlineStr"/>
      <c r="B73" s="22" t="inlineStr">
        <is>
          <t>PROTECT</t>
        </is>
      </c>
      <c r="C73" s="23" t="inlineStr">
        <is>
          <t>Data Security</t>
        </is>
      </c>
      <c r="D73" s="24" t="inlineStr">
        <is>
          <t>PR.DS-11</t>
        </is>
      </c>
      <c r="E73" s="23" t="inlineStr">
        <is>
          <t>Backups created, protected, maintained, and tested</t>
        </is>
      </c>
      <c r="F73" s="16" t="inlineStr"/>
      <c r="G73" s="16" t="inlineStr"/>
      <c r="H73" s="18" t="inlineStr"/>
    </row>
    <row r="74" ht="18" customHeight="1">
      <c r="A74" s="12" t="inlineStr"/>
      <c r="B74" s="22" t="inlineStr">
        <is>
          <t>PROTECT</t>
        </is>
      </c>
      <c r="C74" s="23" t="inlineStr">
        <is>
          <t>Platform Security</t>
        </is>
      </c>
      <c r="D74" s="24" t="inlineStr">
        <is>
          <t>PR.PS-01</t>
        </is>
      </c>
      <c r="E74" s="23" t="inlineStr">
        <is>
          <t>Configuration management applied</t>
        </is>
      </c>
      <c r="F74" s="16" t="inlineStr"/>
      <c r="G74" s="16" t="inlineStr"/>
      <c r="H74" s="17" t="inlineStr"/>
    </row>
    <row r="75" ht="18" customHeight="1">
      <c r="A75" s="12" t="inlineStr"/>
      <c r="B75" s="22" t="inlineStr">
        <is>
          <t>PROTECT</t>
        </is>
      </c>
      <c r="C75" s="23" t="inlineStr">
        <is>
          <t>Platform Security</t>
        </is>
      </c>
      <c r="D75" s="24" t="inlineStr">
        <is>
          <t>PR.PS-02</t>
        </is>
      </c>
      <c r="E75" s="23" t="inlineStr">
        <is>
          <t>Software maintained and replaced</t>
        </is>
      </c>
      <c r="F75" s="16" t="inlineStr"/>
      <c r="G75" s="16" t="inlineStr"/>
      <c r="H75" s="18" t="inlineStr"/>
    </row>
    <row r="76" ht="18" customHeight="1">
      <c r="A76" s="12" t="inlineStr"/>
      <c r="B76" s="22" t="inlineStr">
        <is>
          <t>PROTECT</t>
        </is>
      </c>
      <c r="C76" s="23" t="inlineStr">
        <is>
          <t>Platform Security</t>
        </is>
      </c>
      <c r="D76" s="24" t="inlineStr">
        <is>
          <t>PR.PS-03</t>
        </is>
      </c>
      <c r="E76" s="23" t="inlineStr">
        <is>
          <t>Hardware maintained and replaced</t>
        </is>
      </c>
      <c r="F76" s="16" t="inlineStr"/>
      <c r="G76" s="16" t="inlineStr"/>
      <c r="H76" s="17" t="inlineStr"/>
    </row>
    <row r="77" ht="18" customHeight="1">
      <c r="A77" s="12" t="inlineStr"/>
      <c r="B77" s="22" t="inlineStr">
        <is>
          <t>PROTECT</t>
        </is>
      </c>
      <c r="C77" s="23" t="inlineStr">
        <is>
          <t>Platform Security</t>
        </is>
      </c>
      <c r="D77" s="24" t="inlineStr">
        <is>
          <t>PR.PS-04</t>
        </is>
      </c>
      <c r="E77" s="23" t="inlineStr">
        <is>
          <t>Log records generated for monitoring</t>
        </is>
      </c>
      <c r="F77" s="16" t="inlineStr"/>
      <c r="G77" s="16" t="inlineStr"/>
      <c r="H77" s="18" t="inlineStr"/>
    </row>
    <row r="78" ht="18" customHeight="1">
      <c r="A78" s="12" t="inlineStr"/>
      <c r="B78" s="22" t="inlineStr">
        <is>
          <t>PROTECT</t>
        </is>
      </c>
      <c r="C78" s="23" t="inlineStr">
        <is>
          <t>Platform Security</t>
        </is>
      </c>
      <c r="D78" s="24" t="inlineStr">
        <is>
          <t>PR.PS-05</t>
        </is>
      </c>
      <c r="E78" s="23" t="inlineStr">
        <is>
          <t>Unauthorized software prevented</t>
        </is>
      </c>
      <c r="F78" s="16" t="inlineStr"/>
      <c r="G78" s="16" t="inlineStr"/>
      <c r="H78" s="17" t="inlineStr"/>
    </row>
    <row r="79" ht="18" customHeight="1">
      <c r="A79" s="12" t="inlineStr"/>
      <c r="B79" s="22" t="inlineStr">
        <is>
          <t>PROTECT</t>
        </is>
      </c>
      <c r="C79" s="23" t="inlineStr">
        <is>
          <t>Platform Security</t>
        </is>
      </c>
      <c r="D79" s="24" t="inlineStr">
        <is>
          <t>PR.PS-06</t>
        </is>
      </c>
      <c r="E79" s="23" t="inlineStr">
        <is>
          <t>Secure software development practices applied</t>
        </is>
      </c>
      <c r="F79" s="16" t="inlineStr"/>
      <c r="G79" s="16" t="inlineStr"/>
      <c r="H79" s="18" t="inlineStr"/>
    </row>
    <row r="80" ht="18" customHeight="1">
      <c r="A80" s="12" t="inlineStr"/>
      <c r="B80" s="22" t="inlineStr">
        <is>
          <t>PROTECT</t>
        </is>
      </c>
      <c r="C80" s="23" t="inlineStr">
        <is>
          <t>Technology Infrastructure Resilience</t>
        </is>
      </c>
      <c r="D80" s="24" t="inlineStr">
        <is>
          <t>PR.IR-01</t>
        </is>
      </c>
      <c r="E80" s="23" t="inlineStr">
        <is>
          <t>Networks protected from unauthorized access</t>
        </is>
      </c>
      <c r="F80" s="16" t="inlineStr"/>
      <c r="G80" s="16" t="inlineStr"/>
      <c r="H80" s="17" t="inlineStr"/>
    </row>
    <row r="81" ht="18" customHeight="1">
      <c r="A81" s="12" t="inlineStr"/>
      <c r="B81" s="22" t="inlineStr">
        <is>
          <t>PROTECT</t>
        </is>
      </c>
      <c r="C81" s="23" t="inlineStr">
        <is>
          <t>Technology Infrastructure Resilience</t>
        </is>
      </c>
      <c r="D81" s="24" t="inlineStr">
        <is>
          <t>PR.IR-02</t>
        </is>
      </c>
      <c r="E81" s="23" t="inlineStr">
        <is>
          <t>Assets protected from environmental threats</t>
        </is>
      </c>
      <c r="F81" s="16" t="inlineStr"/>
      <c r="G81" s="16" t="inlineStr"/>
      <c r="H81" s="18" t="inlineStr"/>
    </row>
    <row r="82" ht="18" customHeight="1">
      <c r="A82" s="12" t="inlineStr"/>
      <c r="B82" s="22" t="inlineStr">
        <is>
          <t>PROTECT</t>
        </is>
      </c>
      <c r="C82" s="23" t="inlineStr">
        <is>
          <t>Technology Infrastructure Resilience</t>
        </is>
      </c>
      <c r="D82" s="24" t="inlineStr">
        <is>
          <t>PR.IR-03</t>
        </is>
      </c>
      <c r="E82" s="23" t="inlineStr">
        <is>
          <t>Resilience mechanisms implemented</t>
        </is>
      </c>
      <c r="F82" s="16" t="inlineStr"/>
      <c r="G82" s="16" t="inlineStr"/>
      <c r="H82" s="17" t="inlineStr"/>
    </row>
    <row r="83" ht="18" customHeight="1">
      <c r="A83" s="12" t="inlineStr"/>
      <c r="B83" s="22" t="inlineStr">
        <is>
          <t>PROTECT</t>
        </is>
      </c>
      <c r="C83" s="23" t="inlineStr">
        <is>
          <t>Technology Infrastructure Resilience</t>
        </is>
      </c>
      <c r="D83" s="24" t="inlineStr">
        <is>
          <t>PR.IR-04</t>
        </is>
      </c>
      <c r="E83" s="23" t="inlineStr">
        <is>
          <t>Adequate resource capacity ensured</t>
        </is>
      </c>
      <c r="F83" s="16" t="inlineStr"/>
      <c r="G83" s="16" t="inlineStr"/>
      <c r="H83" s="18" t="inlineStr"/>
    </row>
    <row r="84" ht="6" customHeight="1"/>
    <row r="85" ht="22" customHeight="1">
      <c r="B85" s="25" t="inlineStr">
        <is>
          <t>▶  DETECT (DE)</t>
        </is>
      </c>
    </row>
    <row r="86" ht="18" customHeight="1">
      <c r="A86" s="12" t="inlineStr"/>
      <c r="B86" s="26" t="inlineStr">
        <is>
          <t>DETECT</t>
        </is>
      </c>
      <c r="C86" s="27" t="inlineStr">
        <is>
          <t>Continuous Monitoring</t>
        </is>
      </c>
      <c r="D86" s="28" t="inlineStr">
        <is>
          <t>DE.CM-01</t>
        </is>
      </c>
      <c r="E86" s="27" t="inlineStr">
        <is>
          <t>Networks and network services monitored</t>
        </is>
      </c>
      <c r="F86" s="16" t="inlineStr"/>
      <c r="G86" s="16" t="inlineStr"/>
      <c r="H86" s="17" t="inlineStr"/>
    </row>
    <row r="87" ht="18" customHeight="1">
      <c r="A87" s="12" t="inlineStr"/>
      <c r="B87" s="26" t="inlineStr">
        <is>
          <t>DETECT</t>
        </is>
      </c>
      <c r="C87" s="27" t="inlineStr">
        <is>
          <t>Continuous Monitoring</t>
        </is>
      </c>
      <c r="D87" s="28" t="inlineStr">
        <is>
          <t>DE.CM-02</t>
        </is>
      </c>
      <c r="E87" s="27" t="inlineStr">
        <is>
          <t>Physical environment monitored</t>
        </is>
      </c>
      <c r="F87" s="16" t="inlineStr"/>
      <c r="G87" s="16" t="inlineStr"/>
      <c r="H87" s="18" t="inlineStr"/>
    </row>
    <row r="88" ht="18" customHeight="1">
      <c r="A88" s="12" t="inlineStr"/>
      <c r="B88" s="26" t="inlineStr">
        <is>
          <t>DETECT</t>
        </is>
      </c>
      <c r="C88" s="27" t="inlineStr">
        <is>
          <t>Continuous Monitoring</t>
        </is>
      </c>
      <c r="D88" s="28" t="inlineStr">
        <is>
          <t>DE.CM-03</t>
        </is>
      </c>
      <c r="E88" s="27" t="inlineStr">
        <is>
          <t>Personnel activity and technology usage monitored</t>
        </is>
      </c>
      <c r="F88" s="16" t="inlineStr"/>
      <c r="G88" s="16" t="inlineStr"/>
      <c r="H88" s="17" t="inlineStr"/>
    </row>
    <row r="89" ht="18" customHeight="1">
      <c r="A89" s="12" t="inlineStr"/>
      <c r="B89" s="26" t="inlineStr">
        <is>
          <t>DETECT</t>
        </is>
      </c>
      <c r="C89" s="27" t="inlineStr">
        <is>
          <t>Continuous Monitoring</t>
        </is>
      </c>
      <c r="D89" s="28" t="inlineStr">
        <is>
          <t>DE.CM-06</t>
        </is>
      </c>
      <c r="E89" s="27" t="inlineStr">
        <is>
          <t>External service provider activities monitored</t>
        </is>
      </c>
      <c r="F89" s="16" t="inlineStr"/>
      <c r="G89" s="16" t="inlineStr"/>
      <c r="H89" s="18" t="inlineStr"/>
    </row>
    <row r="90" ht="18" customHeight="1">
      <c r="A90" s="12" t="inlineStr"/>
      <c r="B90" s="26" t="inlineStr">
        <is>
          <t>DETECT</t>
        </is>
      </c>
      <c r="C90" s="27" t="inlineStr">
        <is>
          <t>Continuous Monitoring</t>
        </is>
      </c>
      <c r="D90" s="28" t="inlineStr">
        <is>
          <t>DE.CM-09</t>
        </is>
      </c>
      <c r="E90" s="27" t="inlineStr">
        <is>
          <t>Computing hardware and software monitored</t>
        </is>
      </c>
      <c r="F90" s="16" t="inlineStr"/>
      <c r="G90" s="16" t="inlineStr"/>
      <c r="H90" s="17" t="inlineStr"/>
    </row>
    <row r="91" ht="18" customHeight="1">
      <c r="A91" s="12" t="inlineStr"/>
      <c r="B91" s="26" t="inlineStr">
        <is>
          <t>DETECT</t>
        </is>
      </c>
      <c r="C91" s="27" t="inlineStr">
        <is>
          <t>Adverse Event Analysis</t>
        </is>
      </c>
      <c r="D91" s="28" t="inlineStr">
        <is>
          <t>DE.AE-02</t>
        </is>
      </c>
      <c r="E91" s="27" t="inlineStr">
        <is>
          <t>Adverse events analyzed to characterize them</t>
        </is>
      </c>
      <c r="F91" s="16" t="inlineStr"/>
      <c r="G91" s="16" t="inlineStr"/>
      <c r="H91" s="18" t="inlineStr"/>
    </row>
    <row r="92" ht="18" customHeight="1">
      <c r="A92" s="12" t="inlineStr"/>
      <c r="B92" s="26" t="inlineStr">
        <is>
          <t>DETECT</t>
        </is>
      </c>
      <c r="C92" s="27" t="inlineStr">
        <is>
          <t>Adverse Event Analysis</t>
        </is>
      </c>
      <c r="D92" s="28" t="inlineStr">
        <is>
          <t>DE.AE-03</t>
        </is>
      </c>
      <c r="E92" s="27" t="inlineStr">
        <is>
          <t>Information correlated from multiple sources</t>
        </is>
      </c>
      <c r="F92" s="16" t="inlineStr"/>
      <c r="G92" s="16" t="inlineStr"/>
      <c r="H92" s="17" t="inlineStr"/>
    </row>
    <row r="93" ht="18" customHeight="1">
      <c r="A93" s="12" t="inlineStr"/>
      <c r="B93" s="26" t="inlineStr">
        <is>
          <t>DETECT</t>
        </is>
      </c>
      <c r="C93" s="27" t="inlineStr">
        <is>
          <t>Adverse Event Analysis</t>
        </is>
      </c>
      <c r="D93" s="28" t="inlineStr">
        <is>
          <t>DE.AE-04</t>
        </is>
      </c>
      <c r="E93" s="27" t="inlineStr">
        <is>
          <t>Estimated impact and scope understood</t>
        </is>
      </c>
      <c r="F93" s="16" t="inlineStr"/>
      <c r="G93" s="16" t="inlineStr"/>
      <c r="H93" s="18" t="inlineStr"/>
    </row>
    <row r="94" ht="18" customHeight="1">
      <c r="A94" s="12" t="inlineStr"/>
      <c r="B94" s="26" t="inlineStr">
        <is>
          <t>DETECT</t>
        </is>
      </c>
      <c r="C94" s="27" t="inlineStr">
        <is>
          <t>Adverse Event Analysis</t>
        </is>
      </c>
      <c r="D94" s="28" t="inlineStr">
        <is>
          <t>DE.AE-06</t>
        </is>
      </c>
      <c r="E94" s="27" t="inlineStr">
        <is>
          <t>Information on adverse events provided to staff</t>
        </is>
      </c>
      <c r="F94" s="16" t="inlineStr"/>
      <c r="G94" s="16" t="inlineStr"/>
      <c r="H94" s="17" t="inlineStr"/>
    </row>
    <row r="95" ht="18" customHeight="1">
      <c r="A95" s="12" t="inlineStr"/>
      <c r="B95" s="26" t="inlineStr">
        <is>
          <t>DETECT</t>
        </is>
      </c>
      <c r="C95" s="27" t="inlineStr">
        <is>
          <t>Adverse Event Analysis</t>
        </is>
      </c>
      <c r="D95" s="28" t="inlineStr">
        <is>
          <t>DE.AE-07</t>
        </is>
      </c>
      <c r="E95" s="27" t="inlineStr">
        <is>
          <t>Cyber threat intelligence integrated</t>
        </is>
      </c>
      <c r="F95" s="16" t="inlineStr"/>
      <c r="G95" s="16" t="inlineStr"/>
      <c r="H95" s="18" t="inlineStr"/>
    </row>
    <row r="96" ht="18" customHeight="1">
      <c r="A96" s="12" t="inlineStr"/>
      <c r="B96" s="26" t="inlineStr">
        <is>
          <t>DETECT</t>
        </is>
      </c>
      <c r="C96" s="27" t="inlineStr">
        <is>
          <t>Adverse Event Analysis</t>
        </is>
      </c>
      <c r="D96" s="28" t="inlineStr">
        <is>
          <t>DE.AE-08</t>
        </is>
      </c>
      <c r="E96" s="27" t="inlineStr">
        <is>
          <t>Incidents declared when criteria met</t>
        </is>
      </c>
      <c r="F96" s="16" t="inlineStr"/>
      <c r="G96" s="16" t="inlineStr"/>
      <c r="H96" s="17" t="inlineStr"/>
    </row>
    <row r="97" ht="6" customHeight="1"/>
    <row r="98" ht="22" customHeight="1">
      <c r="B98" s="29" t="inlineStr">
        <is>
          <t>▶  RESPOND (RS)</t>
        </is>
      </c>
    </row>
    <row r="99" ht="18" customHeight="1">
      <c r="A99" s="12" t="inlineStr"/>
      <c r="B99" s="30" t="inlineStr">
        <is>
          <t>RESPOND</t>
        </is>
      </c>
      <c r="C99" s="31" t="inlineStr">
        <is>
          <t>Incident Management</t>
        </is>
      </c>
      <c r="D99" s="32" t="inlineStr">
        <is>
          <t>RS.MA-01</t>
        </is>
      </c>
      <c r="E99" s="31" t="inlineStr">
        <is>
          <t>Incident response plan exists and is executable</t>
        </is>
      </c>
      <c r="F99" s="16" t="inlineStr"/>
      <c r="G99" s="16" t="inlineStr"/>
      <c r="H99" s="18" t="inlineStr"/>
    </row>
    <row r="100" ht="18" customHeight="1">
      <c r="A100" s="12" t="inlineStr"/>
      <c r="B100" s="30" t="inlineStr">
        <is>
          <t>RESPOND</t>
        </is>
      </c>
      <c r="C100" s="31" t="inlineStr">
        <is>
          <t>Incident Management</t>
        </is>
      </c>
      <c r="D100" s="32" t="inlineStr">
        <is>
          <t>RS.MA-02</t>
        </is>
      </c>
      <c r="E100" s="31" t="inlineStr">
        <is>
          <t>Incident reports triaged and validated</t>
        </is>
      </c>
      <c r="F100" s="16" t="inlineStr"/>
      <c r="G100" s="16" t="inlineStr"/>
      <c r="H100" s="17" t="inlineStr"/>
    </row>
    <row r="101" ht="18" customHeight="1">
      <c r="A101" s="12" t="inlineStr"/>
      <c r="B101" s="30" t="inlineStr">
        <is>
          <t>RESPOND</t>
        </is>
      </c>
      <c r="C101" s="31" t="inlineStr">
        <is>
          <t>Incident Management</t>
        </is>
      </c>
      <c r="D101" s="32" t="inlineStr">
        <is>
          <t>RS.MA-03</t>
        </is>
      </c>
      <c r="E101" s="31" t="inlineStr">
        <is>
          <t>Incidents categorized and prioritized</t>
        </is>
      </c>
      <c r="F101" s="16" t="inlineStr"/>
      <c r="G101" s="16" t="inlineStr"/>
      <c r="H101" s="18" t="inlineStr"/>
    </row>
    <row r="102" ht="18" customHeight="1">
      <c r="A102" s="12" t="inlineStr"/>
      <c r="B102" s="30" t="inlineStr">
        <is>
          <t>RESPOND</t>
        </is>
      </c>
      <c r="C102" s="31" t="inlineStr">
        <is>
          <t>Incident Management</t>
        </is>
      </c>
      <c r="D102" s="32" t="inlineStr">
        <is>
          <t>RS.MA-04</t>
        </is>
      </c>
      <c r="E102" s="31" t="inlineStr">
        <is>
          <t>Incidents escalated or elevated as needed</t>
        </is>
      </c>
      <c r="F102" s="16" t="inlineStr"/>
      <c r="G102" s="16" t="inlineStr"/>
      <c r="H102" s="17" t="inlineStr"/>
    </row>
    <row r="103" ht="18" customHeight="1">
      <c r="A103" s="12" t="inlineStr"/>
      <c r="B103" s="30" t="inlineStr">
        <is>
          <t>RESPOND</t>
        </is>
      </c>
      <c r="C103" s="31" t="inlineStr">
        <is>
          <t>Incident Management</t>
        </is>
      </c>
      <c r="D103" s="32" t="inlineStr">
        <is>
          <t>RS.MA-05</t>
        </is>
      </c>
      <c r="E103" s="31" t="inlineStr">
        <is>
          <t>Incidents declared contained after analysis</t>
        </is>
      </c>
      <c r="F103" s="16" t="inlineStr"/>
      <c r="G103" s="16" t="inlineStr"/>
      <c r="H103" s="18" t="inlineStr"/>
    </row>
    <row r="104" ht="18" customHeight="1">
      <c r="A104" s="12" t="inlineStr"/>
      <c r="B104" s="30" t="inlineStr">
        <is>
          <t>RESPOND</t>
        </is>
      </c>
      <c r="C104" s="31" t="inlineStr">
        <is>
          <t>Incident Analysis</t>
        </is>
      </c>
      <c r="D104" s="32" t="inlineStr">
        <is>
          <t>RS.AN-03</t>
        </is>
      </c>
      <c r="E104" s="31" t="inlineStr">
        <is>
          <t>Analysis of what took place during incident</t>
        </is>
      </c>
      <c r="F104" s="16" t="inlineStr"/>
      <c r="G104" s="16" t="inlineStr"/>
      <c r="H104" s="17" t="inlineStr"/>
    </row>
    <row r="105" ht="18" customHeight="1">
      <c r="A105" s="12" t="inlineStr"/>
      <c r="B105" s="30" t="inlineStr">
        <is>
          <t>RESPOND</t>
        </is>
      </c>
      <c r="C105" s="31" t="inlineStr">
        <is>
          <t>Incident Analysis</t>
        </is>
      </c>
      <c r="D105" s="32" t="inlineStr">
        <is>
          <t>RS.AN-06</t>
        </is>
      </c>
      <c r="E105" s="31" t="inlineStr">
        <is>
          <t>Actions during investigation recorded</t>
        </is>
      </c>
      <c r="F105" s="16" t="inlineStr"/>
      <c r="G105" s="16" t="inlineStr"/>
      <c r="H105" s="18" t="inlineStr"/>
    </row>
    <row r="106" ht="18" customHeight="1">
      <c r="A106" s="12" t="inlineStr"/>
      <c r="B106" s="30" t="inlineStr">
        <is>
          <t>RESPOND</t>
        </is>
      </c>
      <c r="C106" s="31" t="inlineStr">
        <is>
          <t>Incident Analysis</t>
        </is>
      </c>
      <c r="D106" s="32" t="inlineStr">
        <is>
          <t>RS.AN-07</t>
        </is>
      </c>
      <c r="E106" s="31" t="inlineStr">
        <is>
          <t>Incident data and metadata collected</t>
        </is>
      </c>
      <c r="F106" s="16" t="inlineStr"/>
      <c r="G106" s="16" t="inlineStr"/>
      <c r="H106" s="17" t="inlineStr"/>
    </row>
    <row r="107" ht="18" customHeight="1">
      <c r="A107" s="12" t="inlineStr"/>
      <c r="B107" s="30" t="inlineStr">
        <is>
          <t>RESPOND</t>
        </is>
      </c>
      <c r="C107" s="31" t="inlineStr">
        <is>
          <t>Incident Analysis</t>
        </is>
      </c>
      <c r="D107" s="32" t="inlineStr">
        <is>
          <t>RS.AN-08</t>
        </is>
      </c>
      <c r="E107" s="31" t="inlineStr">
        <is>
          <t>Incident magnitude estimated and validated</t>
        </is>
      </c>
      <c r="F107" s="16" t="inlineStr"/>
      <c r="G107" s="16" t="inlineStr"/>
      <c r="H107" s="18" t="inlineStr"/>
    </row>
    <row r="108" ht="18" customHeight="1">
      <c r="A108" s="12" t="inlineStr"/>
      <c r="B108" s="30" t="inlineStr">
        <is>
          <t>RESPOND</t>
        </is>
      </c>
      <c r="C108" s="31" t="inlineStr">
        <is>
          <t>Incident Response Reporting</t>
        </is>
      </c>
      <c r="D108" s="32" t="inlineStr">
        <is>
          <t>RS.CO-02</t>
        </is>
      </c>
      <c r="E108" s="31" t="inlineStr">
        <is>
          <t>Internal/external stakeholders notified</t>
        </is>
      </c>
      <c r="F108" s="16" t="inlineStr"/>
      <c r="G108" s="16" t="inlineStr"/>
      <c r="H108" s="17" t="inlineStr"/>
    </row>
    <row r="109" ht="18" customHeight="1">
      <c r="A109" s="12" t="inlineStr"/>
      <c r="B109" s="30" t="inlineStr">
        <is>
          <t>RESPOND</t>
        </is>
      </c>
      <c r="C109" s="31" t="inlineStr">
        <is>
          <t>Incident Response Reporting</t>
        </is>
      </c>
      <c r="D109" s="32" t="inlineStr">
        <is>
          <t>RS.CO-03</t>
        </is>
      </c>
      <c r="E109" s="31" t="inlineStr">
        <is>
          <t>Information shared with designated stakeholders</t>
        </is>
      </c>
      <c r="F109" s="16" t="inlineStr"/>
      <c r="G109" s="16" t="inlineStr"/>
      <c r="H109" s="18" t="inlineStr"/>
    </row>
    <row r="110" ht="18" customHeight="1">
      <c r="A110" s="12" t="inlineStr"/>
      <c r="B110" s="30" t="inlineStr">
        <is>
          <t>RESPOND</t>
        </is>
      </c>
      <c r="C110" s="31" t="inlineStr">
        <is>
          <t>Incident Mitigation</t>
        </is>
      </c>
      <c r="D110" s="32" t="inlineStr">
        <is>
          <t>RS.MI-01</t>
        </is>
      </c>
      <c r="E110" s="31" t="inlineStr">
        <is>
          <t>Incidents contained</t>
        </is>
      </c>
      <c r="F110" s="16" t="inlineStr"/>
      <c r="G110" s="16" t="inlineStr"/>
      <c r="H110" s="17" t="inlineStr"/>
    </row>
    <row r="111" ht="18" customHeight="1">
      <c r="A111" s="12" t="inlineStr"/>
      <c r="B111" s="30" t="inlineStr">
        <is>
          <t>RESPOND</t>
        </is>
      </c>
      <c r="C111" s="31" t="inlineStr">
        <is>
          <t>Incident Mitigation</t>
        </is>
      </c>
      <c r="D111" s="32" t="inlineStr">
        <is>
          <t>RS.MI-02</t>
        </is>
      </c>
      <c r="E111" s="31" t="inlineStr">
        <is>
          <t>Incidents eradicated</t>
        </is>
      </c>
      <c r="F111" s="16" t="inlineStr"/>
      <c r="G111" s="16" t="inlineStr"/>
      <c r="H111" s="18" t="inlineStr"/>
    </row>
    <row r="112" ht="6" customHeight="1"/>
    <row r="113" ht="22" customHeight="1">
      <c r="B113" s="33" t="inlineStr">
        <is>
          <t>▶  RECOVER (RC)</t>
        </is>
      </c>
    </row>
    <row r="114" ht="18" customHeight="1">
      <c r="A114" s="12" t="inlineStr"/>
      <c r="B114" s="34" t="inlineStr">
        <is>
          <t>RECOVER</t>
        </is>
      </c>
      <c r="C114" s="35" t="inlineStr">
        <is>
          <t>Incident Recovery Plan Execution</t>
        </is>
      </c>
      <c r="D114" s="36" t="inlineStr">
        <is>
          <t>RC.RP-01</t>
        </is>
      </c>
      <c r="E114" s="35" t="inlineStr">
        <is>
          <t>Recovery portion of IRP executed</t>
        </is>
      </c>
      <c r="F114" s="16" t="inlineStr"/>
      <c r="G114" s="16" t="inlineStr"/>
      <c r="H114" s="17" t="inlineStr"/>
    </row>
    <row r="115" ht="18" customHeight="1">
      <c r="A115" s="12" t="inlineStr"/>
      <c r="B115" s="34" t="inlineStr">
        <is>
          <t>RECOVER</t>
        </is>
      </c>
      <c r="C115" s="35" t="inlineStr">
        <is>
          <t>Incident Recovery Plan Execution</t>
        </is>
      </c>
      <c r="D115" s="36" t="inlineStr">
        <is>
          <t>RC.RP-02</t>
        </is>
      </c>
      <c r="E115" s="35" t="inlineStr">
        <is>
          <t>Recovery actions selected and performed</t>
        </is>
      </c>
      <c r="F115" s="16" t="inlineStr"/>
      <c r="G115" s="16" t="inlineStr"/>
      <c r="H115" s="18" t="inlineStr"/>
    </row>
    <row r="116" ht="18" customHeight="1">
      <c r="A116" s="12" t="inlineStr"/>
      <c r="B116" s="34" t="inlineStr">
        <is>
          <t>RECOVER</t>
        </is>
      </c>
      <c r="C116" s="35" t="inlineStr">
        <is>
          <t>Incident Recovery Plan Execution</t>
        </is>
      </c>
      <c r="D116" s="36" t="inlineStr">
        <is>
          <t>RC.RP-03</t>
        </is>
      </c>
      <c r="E116" s="35" t="inlineStr">
        <is>
          <t>Completeness of recovery confirmed</t>
        </is>
      </c>
      <c r="F116" s="16" t="inlineStr"/>
      <c r="G116" s="16" t="inlineStr"/>
      <c r="H116" s="17" t="inlineStr"/>
    </row>
    <row r="117" ht="18" customHeight="1">
      <c r="A117" s="12" t="inlineStr"/>
      <c r="B117" s="34" t="inlineStr">
        <is>
          <t>RECOVER</t>
        </is>
      </c>
      <c r="C117" s="35" t="inlineStr">
        <is>
          <t>Incident Recovery Plan Execution</t>
        </is>
      </c>
      <c r="D117" s="36" t="inlineStr">
        <is>
          <t>RC.RP-04</t>
        </is>
      </c>
      <c r="E117" s="35" t="inlineStr">
        <is>
          <t>Reputation strategies applied</t>
        </is>
      </c>
      <c r="F117" s="16" t="inlineStr"/>
      <c r="G117" s="16" t="inlineStr"/>
      <c r="H117" s="18" t="inlineStr"/>
    </row>
    <row r="118" ht="18" customHeight="1">
      <c r="A118" s="12" t="inlineStr"/>
      <c r="B118" s="34" t="inlineStr">
        <is>
          <t>RECOVER</t>
        </is>
      </c>
      <c r="C118" s="35" t="inlineStr">
        <is>
          <t>Incident Recovery Plan Execution</t>
        </is>
      </c>
      <c r="D118" s="36" t="inlineStr">
        <is>
          <t>RC.RP-05</t>
        </is>
      </c>
      <c r="E118" s="35" t="inlineStr">
        <is>
          <t>Recovery activities end when criteria met</t>
        </is>
      </c>
      <c r="F118" s="16" t="inlineStr"/>
      <c r="G118" s="16" t="inlineStr"/>
      <c r="H118" s="17" t="inlineStr"/>
    </row>
    <row r="119" ht="18" customHeight="1">
      <c r="A119" s="12" t="inlineStr"/>
      <c r="B119" s="34" t="inlineStr">
        <is>
          <t>RECOVER</t>
        </is>
      </c>
      <c r="C119" s="35" t="inlineStr">
        <is>
          <t>Incident Recovery Plan Execution</t>
        </is>
      </c>
      <c r="D119" s="36" t="inlineStr">
        <is>
          <t>RC.RP-06</t>
        </is>
      </c>
      <c r="E119" s="35" t="inlineStr">
        <is>
          <t>Lessons learned incorporated</t>
        </is>
      </c>
      <c r="F119" s="16" t="inlineStr"/>
      <c r="G119" s="16" t="inlineStr"/>
      <c r="H119" s="18" t="inlineStr"/>
    </row>
    <row r="120" ht="18" customHeight="1">
      <c r="A120" s="12" t="inlineStr"/>
      <c r="B120" s="34" t="inlineStr">
        <is>
          <t>RECOVER</t>
        </is>
      </c>
      <c r="C120" s="35" t="inlineStr">
        <is>
          <t>Incident Recovery Communication</t>
        </is>
      </c>
      <c r="D120" s="36" t="inlineStr">
        <is>
          <t>RC.CO-03</t>
        </is>
      </c>
      <c r="E120" s="35" t="inlineStr">
        <is>
          <t>Recovery activities communicated to stakeholders</t>
        </is>
      </c>
      <c r="F120" s="16" t="inlineStr"/>
      <c r="G120" s="16" t="inlineStr"/>
      <c r="H120" s="17" t="inlineStr"/>
    </row>
    <row r="121" ht="18" customHeight="1">
      <c r="A121" s="12" t="inlineStr"/>
      <c r="B121" s="34" t="inlineStr">
        <is>
          <t>RECOVER</t>
        </is>
      </c>
      <c r="C121" s="35" t="inlineStr">
        <is>
          <t>Incident Recovery Communication</t>
        </is>
      </c>
      <c r="D121" s="36" t="inlineStr">
        <is>
          <t>RC.CO-04</t>
        </is>
      </c>
      <c r="E121" s="35" t="inlineStr">
        <is>
          <t>Public updates shared via approved methods</t>
        </is>
      </c>
      <c r="F121" s="16" t="inlineStr"/>
      <c r="G121" s="16" t="inlineStr"/>
      <c r="H121" s="18" t="inlineStr"/>
    </row>
  </sheetData>
  <mergeCells count="9">
    <mergeCell ref="B85:H85"/>
    <mergeCell ref="B1:H1"/>
    <mergeCell ref="E2:F2"/>
    <mergeCell ref="B113:H113"/>
    <mergeCell ref="B38:H38"/>
    <mergeCell ref="B5:H5"/>
    <mergeCell ref="B98:H98"/>
    <mergeCell ref="B2:D2"/>
    <mergeCell ref="B61:H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1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2" customWidth="1" min="4" max="4"/>
    <col width="44" customWidth="1" min="5" max="5"/>
    <col width="10" customWidth="1" min="6" max="6"/>
    <col width="10" customWidth="1" min="7" max="7"/>
    <col width="30" customWidth="1" min="8" max="8"/>
  </cols>
  <sheetData>
    <row r="1" ht="28" customHeight="1">
      <c r="B1" s="4" t="inlineStr">
        <is>
          <t>NIST CSF 2.0 — Target Profile</t>
        </is>
      </c>
    </row>
    <row r="2" ht="20" customHeight="1">
      <c r="B2" s="5" t="inlineStr">
        <is>
          <t>Organization:</t>
        </is>
      </c>
      <c r="E2" s="6" t="inlineStr"/>
      <c r="G2" s="5" t="inlineStr">
        <is>
          <t>Date:</t>
        </is>
      </c>
      <c r="H2" s="6" t="inlineStr"/>
    </row>
    <row r="3" ht="36" customHeight="1">
      <c r="A3" s="7" t="inlineStr"/>
      <c r="B3" s="8" t="inlineStr">
        <is>
          <t>Function</t>
        </is>
      </c>
      <c r="C3" s="8" t="inlineStr">
        <is>
          <t>Category</t>
        </is>
      </c>
      <c r="D3" s="8" t="inlineStr">
        <is>
          <t>Subcategory ID</t>
        </is>
      </c>
      <c r="E3" s="8" t="inlineStr">
        <is>
          <t>Subcategory Description</t>
        </is>
      </c>
      <c r="F3" s="9" t="inlineStr">
        <is>
          <t>Target
Score</t>
        </is>
      </c>
      <c r="G3" s="9" t="inlineStr">
        <is>
          <t>Target
Score</t>
        </is>
      </c>
      <c r="H3" s="8" t="inlineStr">
        <is>
          <t>Notes / Evidence Reference</t>
        </is>
      </c>
    </row>
    <row r="4" ht="30" customHeight="1">
      <c r="A4" s="10" t="inlineStr"/>
      <c r="B4" s="10" t="inlineStr"/>
      <c r="C4" s="10" t="inlineStr"/>
      <c r="D4" s="10" t="inlineStr"/>
      <c r="E4" s="10" t="inlineStr">
        <is>
          <t>Enter desired target implementation score
1=Partial  2=Risk Informed  3=Repeatable  4=Adaptive</t>
        </is>
      </c>
      <c r="F4" s="10" t="inlineStr">
        <is>
          <t>Enter 1–4
(or N/A)</t>
        </is>
      </c>
      <c r="G4" s="10" t="inlineStr">
        <is>
          <t>Enter 1–4
(or N/A)</t>
        </is>
      </c>
      <c r="H4" s="10" t="inlineStr">
        <is>
          <t>Document evidence or context</t>
        </is>
      </c>
    </row>
    <row r="5" ht="22" customHeight="1">
      <c r="B5" s="11" t="inlineStr">
        <is>
          <t>▶  GOVERN (GV)</t>
        </is>
      </c>
    </row>
    <row r="6" ht="18" customHeight="1">
      <c r="A6" s="12" t="inlineStr"/>
      <c r="B6" s="13" t="inlineStr">
        <is>
          <t>GOVERN</t>
        </is>
      </c>
      <c r="C6" s="14" t="inlineStr">
        <is>
          <t>Organizational Context</t>
        </is>
      </c>
      <c r="D6" s="15" t="inlineStr">
        <is>
          <t>GV.OC-01</t>
        </is>
      </c>
      <c r="E6" s="14" t="inlineStr">
        <is>
          <t>Mission, stakeholders, and dependencies understood</t>
        </is>
      </c>
      <c r="F6" s="16" t="inlineStr"/>
      <c r="G6" s="16" t="inlineStr"/>
      <c r="H6" s="17" t="inlineStr"/>
    </row>
    <row r="7" ht="18" customHeight="1">
      <c r="A7" s="12" t="inlineStr"/>
      <c r="B7" s="13" t="inlineStr">
        <is>
          <t>GOVERN</t>
        </is>
      </c>
      <c r="C7" s="14" t="inlineStr">
        <is>
          <t>Organizational Context</t>
        </is>
      </c>
      <c r="D7" s="15" t="inlineStr">
        <is>
          <t>GV.OC-02</t>
        </is>
      </c>
      <c r="E7" s="14" t="inlineStr">
        <is>
          <t>Legal/regulatory requirements identified</t>
        </is>
      </c>
      <c r="F7" s="16" t="inlineStr"/>
      <c r="G7" s="16" t="inlineStr"/>
      <c r="H7" s="18" t="inlineStr"/>
    </row>
    <row r="8" ht="18" customHeight="1">
      <c r="A8" s="12" t="inlineStr"/>
      <c r="B8" s="13" t="inlineStr">
        <is>
          <t>GOVERN</t>
        </is>
      </c>
      <c r="C8" s="14" t="inlineStr">
        <is>
          <t>Organizational Context</t>
        </is>
      </c>
      <c r="D8" s="15" t="inlineStr">
        <is>
          <t>GV.OC-03</t>
        </is>
      </c>
      <c r="E8" s="14" t="inlineStr">
        <is>
          <t>Critical objectives and capabilities identified</t>
        </is>
      </c>
      <c r="F8" s="16" t="inlineStr"/>
      <c r="G8" s="16" t="inlineStr"/>
      <c r="H8" s="17" t="inlineStr"/>
    </row>
    <row r="9" ht="18" customHeight="1">
      <c r="A9" s="12" t="inlineStr"/>
      <c r="B9" s="13" t="inlineStr">
        <is>
          <t>GOVERN</t>
        </is>
      </c>
      <c r="C9" s="14" t="inlineStr">
        <is>
          <t>Organizational Context</t>
        </is>
      </c>
      <c r="D9" s="15" t="inlineStr">
        <is>
          <t>GV.OC-04</t>
        </is>
      </c>
      <c r="E9" s="14" t="inlineStr">
        <is>
          <t>Relationships and dependencies understood</t>
        </is>
      </c>
      <c r="F9" s="16" t="inlineStr"/>
      <c r="G9" s="16" t="inlineStr"/>
      <c r="H9" s="18" t="inlineStr"/>
    </row>
    <row r="10" ht="18" customHeight="1">
      <c r="A10" s="12" t="inlineStr"/>
      <c r="B10" s="13" t="inlineStr">
        <is>
          <t>GOVERN</t>
        </is>
      </c>
      <c r="C10" s="14" t="inlineStr">
        <is>
          <t>Organizational Context</t>
        </is>
      </c>
      <c r="D10" s="15" t="inlineStr">
        <is>
          <t>GV.OC-05</t>
        </is>
      </c>
      <c r="E10" s="14" t="inlineStr">
        <is>
          <t>Cybersecurity integrated into organizational strategy</t>
        </is>
      </c>
      <c r="F10" s="16" t="inlineStr"/>
      <c r="G10" s="16" t="inlineStr"/>
      <c r="H10" s="17" t="inlineStr"/>
    </row>
    <row r="11" ht="18" customHeight="1">
      <c r="A11" s="12" t="inlineStr"/>
      <c r="B11" s="13" t="inlineStr">
        <is>
          <t>GOVERN</t>
        </is>
      </c>
      <c r="C11" s="14" t="inlineStr">
        <is>
          <t>Risk Management Strategy</t>
        </is>
      </c>
      <c r="D11" s="15" t="inlineStr">
        <is>
          <t>GV.RM-01</t>
        </is>
      </c>
      <c r="E11" s="14" t="inlineStr">
        <is>
          <t>Risk management objectives established</t>
        </is>
      </c>
      <c r="F11" s="16" t="inlineStr"/>
      <c r="G11" s="16" t="inlineStr"/>
      <c r="H11" s="18" t="inlineStr"/>
    </row>
    <row r="12" ht="18" customHeight="1">
      <c r="A12" s="12" t="inlineStr"/>
      <c r="B12" s="13" t="inlineStr">
        <is>
          <t>GOVERN</t>
        </is>
      </c>
      <c r="C12" s="14" t="inlineStr">
        <is>
          <t>Risk Management Strategy</t>
        </is>
      </c>
      <c r="D12" s="15" t="inlineStr">
        <is>
          <t>GV.RM-02</t>
        </is>
      </c>
      <c r="E12" s="14" t="inlineStr">
        <is>
          <t>Risk appetite and tolerance determined</t>
        </is>
      </c>
      <c r="F12" s="16" t="inlineStr"/>
      <c r="G12" s="16" t="inlineStr"/>
      <c r="H12" s="17" t="inlineStr"/>
    </row>
    <row r="13" ht="18" customHeight="1">
      <c r="A13" s="12" t="inlineStr"/>
      <c r="B13" s="13" t="inlineStr">
        <is>
          <t>GOVERN</t>
        </is>
      </c>
      <c r="C13" s="14" t="inlineStr">
        <is>
          <t>Risk Management Strategy</t>
        </is>
      </c>
      <c r="D13" s="15" t="inlineStr">
        <is>
          <t>GV.RM-03</t>
        </is>
      </c>
      <c r="E13" s="14" t="inlineStr">
        <is>
          <t>Cybersecurity risk integrated into ERM</t>
        </is>
      </c>
      <c r="F13" s="16" t="inlineStr"/>
      <c r="G13" s="16" t="inlineStr"/>
      <c r="H13" s="18" t="inlineStr"/>
    </row>
    <row r="14" ht="18" customHeight="1">
      <c r="A14" s="12" t="inlineStr"/>
      <c r="B14" s="13" t="inlineStr">
        <is>
          <t>GOVERN</t>
        </is>
      </c>
      <c r="C14" s="14" t="inlineStr">
        <is>
          <t>Risk Management Strategy</t>
        </is>
      </c>
      <c r="D14" s="15" t="inlineStr">
        <is>
          <t>GV.RM-04</t>
        </is>
      </c>
      <c r="E14" s="14" t="inlineStr">
        <is>
          <t>Strategic direction communicated to stakeholders</t>
        </is>
      </c>
      <c r="F14" s="16" t="inlineStr"/>
      <c r="G14" s="16" t="inlineStr"/>
      <c r="H14" s="17" t="inlineStr"/>
    </row>
    <row r="15" ht="18" customHeight="1">
      <c r="A15" s="12" t="inlineStr"/>
      <c r="B15" s="13" t="inlineStr">
        <is>
          <t>GOVERN</t>
        </is>
      </c>
      <c r="C15" s="14" t="inlineStr">
        <is>
          <t>Risk Management Strategy</t>
        </is>
      </c>
      <c r="D15" s="15" t="inlineStr">
        <is>
          <t>GV.RM-05</t>
        </is>
      </c>
      <c r="E15" s="14" t="inlineStr">
        <is>
          <t>Threats and vulnerabilities fed into risk management</t>
        </is>
      </c>
      <c r="F15" s="16" t="inlineStr"/>
      <c r="G15" s="16" t="inlineStr"/>
      <c r="H15" s="18" t="inlineStr"/>
    </row>
    <row r="16" ht="18" customHeight="1">
      <c r="A16" s="12" t="inlineStr"/>
      <c r="B16" s="13" t="inlineStr">
        <is>
          <t>GOVERN</t>
        </is>
      </c>
      <c r="C16" s="14" t="inlineStr">
        <is>
          <t>Risk Management Strategy</t>
        </is>
      </c>
      <c r="D16" s="15" t="inlineStr">
        <is>
          <t>GV.RM-06</t>
        </is>
      </c>
      <c r="E16" s="14" t="inlineStr">
        <is>
          <t>Policies establish risk oversight responsibilities</t>
        </is>
      </c>
      <c r="F16" s="16" t="inlineStr"/>
      <c r="G16" s="16" t="inlineStr"/>
      <c r="H16" s="17" t="inlineStr"/>
    </row>
    <row r="17" ht="18" customHeight="1">
      <c r="A17" s="12" t="inlineStr"/>
      <c r="B17" s="13" t="inlineStr">
        <is>
          <t>GOVERN</t>
        </is>
      </c>
      <c r="C17" s="14" t="inlineStr">
        <is>
          <t>Risk Management Strategy</t>
        </is>
      </c>
      <c r="D17" s="15" t="inlineStr">
        <is>
          <t>GV.RM-07</t>
        </is>
      </c>
      <c r="E17" s="14" t="inlineStr">
        <is>
          <t>Strategic opportunities considered in risk decisions</t>
        </is>
      </c>
      <c r="F17" s="16" t="inlineStr"/>
      <c r="G17" s="16" t="inlineStr"/>
      <c r="H17" s="18" t="inlineStr"/>
    </row>
    <row r="18" ht="18" customHeight="1">
      <c r="A18" s="12" t="inlineStr"/>
      <c r="B18" s="13" t="inlineStr">
        <is>
          <t>GOVERN</t>
        </is>
      </c>
      <c r="C18" s="14" t="inlineStr">
        <is>
          <t>Roles, Responsibilities &amp; Authorities</t>
        </is>
      </c>
      <c r="D18" s="15" t="inlineStr">
        <is>
          <t>GV.RR-01</t>
        </is>
      </c>
      <c r="E18" s="14" t="inlineStr">
        <is>
          <t>Leadership accountable for cybersecurity risk</t>
        </is>
      </c>
      <c r="F18" s="16" t="inlineStr"/>
      <c r="G18" s="16" t="inlineStr"/>
      <c r="H18" s="17" t="inlineStr"/>
    </row>
    <row r="19" ht="18" customHeight="1">
      <c r="A19" s="12" t="inlineStr"/>
      <c r="B19" s="13" t="inlineStr">
        <is>
          <t>GOVERN</t>
        </is>
      </c>
      <c r="C19" s="14" t="inlineStr">
        <is>
          <t>Roles, Responsibilities &amp; Authorities</t>
        </is>
      </c>
      <c r="D19" s="15" t="inlineStr">
        <is>
          <t>GV.RR-02</t>
        </is>
      </c>
      <c r="E19" s="14" t="inlineStr">
        <is>
          <t>Roles and responsibilities assigned</t>
        </is>
      </c>
      <c r="F19" s="16" t="inlineStr"/>
      <c r="G19" s="16" t="inlineStr"/>
      <c r="H19" s="18" t="inlineStr"/>
    </row>
    <row r="20" ht="18" customHeight="1">
      <c r="A20" s="12" t="inlineStr"/>
      <c r="B20" s="13" t="inlineStr">
        <is>
          <t>GOVERN</t>
        </is>
      </c>
      <c r="C20" s="14" t="inlineStr">
        <is>
          <t>Roles, Responsibilities &amp; Authorities</t>
        </is>
      </c>
      <c r="D20" s="15" t="inlineStr">
        <is>
          <t>GV.RR-03</t>
        </is>
      </c>
      <c r="E20" s="14" t="inlineStr">
        <is>
          <t>Adequate resources allocated</t>
        </is>
      </c>
      <c r="F20" s="16" t="inlineStr"/>
      <c r="G20" s="16" t="inlineStr"/>
      <c r="H20" s="17" t="inlineStr"/>
    </row>
    <row r="21" ht="18" customHeight="1">
      <c r="A21" s="12" t="inlineStr"/>
      <c r="B21" s="13" t="inlineStr">
        <is>
          <t>GOVERN</t>
        </is>
      </c>
      <c r="C21" s="14" t="inlineStr">
        <is>
          <t>Roles, Responsibilities &amp; Authorities</t>
        </is>
      </c>
      <c r="D21" s="15" t="inlineStr">
        <is>
          <t>GV.RR-04</t>
        </is>
      </c>
      <c r="E21" s="14" t="inlineStr">
        <is>
          <t>Cybersecurity communicated across organization</t>
        </is>
      </c>
      <c r="F21" s="16" t="inlineStr"/>
      <c r="G21" s="16" t="inlineStr"/>
      <c r="H21" s="18" t="inlineStr"/>
    </row>
    <row r="22" ht="18" customHeight="1">
      <c r="A22" s="12" t="inlineStr"/>
      <c r="B22" s="13" t="inlineStr">
        <is>
          <t>GOVERN</t>
        </is>
      </c>
      <c r="C22" s="14" t="inlineStr">
        <is>
          <t>Policy</t>
        </is>
      </c>
      <c r="D22" s="15" t="inlineStr">
        <is>
          <t>GV.PO-01</t>
        </is>
      </c>
      <c r="E22" s="14" t="inlineStr">
        <is>
          <t>Cybersecurity policy established and enforced</t>
        </is>
      </c>
      <c r="F22" s="16" t="inlineStr"/>
      <c r="G22" s="16" t="inlineStr"/>
      <c r="H22" s="17" t="inlineStr"/>
    </row>
    <row r="23" ht="18" customHeight="1">
      <c r="A23" s="12" t="inlineStr"/>
      <c r="B23" s="13" t="inlineStr">
        <is>
          <t>GOVERN</t>
        </is>
      </c>
      <c r="C23" s="14" t="inlineStr">
        <is>
          <t>Policy</t>
        </is>
      </c>
      <c r="D23" s="15" t="inlineStr">
        <is>
          <t>GV.PO-02</t>
        </is>
      </c>
      <c r="E23" s="14" t="inlineStr">
        <is>
          <t>Policy reviewed and updated</t>
        </is>
      </c>
      <c r="F23" s="16" t="inlineStr"/>
      <c r="G23" s="16" t="inlineStr"/>
      <c r="H23" s="18" t="inlineStr"/>
    </row>
    <row r="24" ht="18" customHeight="1">
      <c r="A24" s="12" t="inlineStr"/>
      <c r="B24" s="13" t="inlineStr">
        <is>
          <t>GOVERN</t>
        </is>
      </c>
      <c r="C24" s="14" t="inlineStr">
        <is>
          <t>Oversight</t>
        </is>
      </c>
      <c r="D24" s="15" t="inlineStr">
        <is>
          <t>GV.OV-01</t>
        </is>
      </c>
      <c r="E24" s="14" t="inlineStr">
        <is>
          <t>Cybersecurity review outcomes inform risk management</t>
        </is>
      </c>
      <c r="F24" s="16" t="inlineStr"/>
      <c r="G24" s="16" t="inlineStr"/>
      <c r="H24" s="17" t="inlineStr"/>
    </row>
    <row r="25" ht="18" customHeight="1">
      <c r="A25" s="12" t="inlineStr"/>
      <c r="B25" s="13" t="inlineStr">
        <is>
          <t>GOVERN</t>
        </is>
      </c>
      <c r="C25" s="14" t="inlineStr">
        <is>
          <t>Oversight</t>
        </is>
      </c>
      <c r="D25" s="15" t="inlineStr">
        <is>
          <t>GV.OV-02</t>
        </is>
      </c>
      <c r="E25" s="14" t="inlineStr">
        <is>
          <t>Cybersecurity strategy reviewed and adjusted</t>
        </is>
      </c>
      <c r="F25" s="16" t="inlineStr"/>
      <c r="G25" s="16" t="inlineStr"/>
      <c r="H25" s="18" t="inlineStr"/>
    </row>
    <row r="26" ht="18" customHeight="1">
      <c r="A26" s="12" t="inlineStr"/>
      <c r="B26" s="13" t="inlineStr">
        <is>
          <t>GOVERN</t>
        </is>
      </c>
      <c r="C26" s="14" t="inlineStr">
        <is>
          <t>Oversight</t>
        </is>
      </c>
      <c r="D26" s="15" t="inlineStr">
        <is>
          <t>GV.OV-03</t>
        </is>
      </c>
      <c r="E26" s="14" t="inlineStr">
        <is>
          <t>Organizational results communicated to stakeholders</t>
        </is>
      </c>
      <c r="F26" s="16" t="inlineStr"/>
      <c r="G26" s="16" t="inlineStr"/>
      <c r="H26" s="17" t="inlineStr"/>
    </row>
    <row r="27" ht="18" customHeight="1">
      <c r="A27" s="12" t="inlineStr"/>
      <c r="B27" s="13" t="inlineStr">
        <is>
          <t>GOVERN</t>
        </is>
      </c>
      <c r="C27" s="14" t="inlineStr">
        <is>
          <t>Supply Chain Risk Management</t>
        </is>
      </c>
      <c r="D27" s="15" t="inlineStr">
        <is>
          <t>GV.SC-01</t>
        </is>
      </c>
      <c r="E27" s="14" t="inlineStr">
        <is>
          <t>Supply chain risk management program established</t>
        </is>
      </c>
      <c r="F27" s="16" t="inlineStr"/>
      <c r="G27" s="16" t="inlineStr"/>
      <c r="H27" s="18" t="inlineStr"/>
    </row>
    <row r="28" ht="18" customHeight="1">
      <c r="A28" s="12" t="inlineStr"/>
      <c r="B28" s="13" t="inlineStr">
        <is>
          <t>GOVERN</t>
        </is>
      </c>
      <c r="C28" s="14" t="inlineStr">
        <is>
          <t>Supply Chain Risk Management</t>
        </is>
      </c>
      <c r="D28" s="15" t="inlineStr">
        <is>
          <t>GV.SC-02</t>
        </is>
      </c>
      <c r="E28" s="14" t="inlineStr">
        <is>
          <t>Suppliers identified, prioritized, and assessed</t>
        </is>
      </c>
      <c r="F28" s="16" t="inlineStr"/>
      <c r="G28" s="16" t="inlineStr"/>
      <c r="H28" s="17" t="inlineStr"/>
    </row>
    <row r="29" ht="18" customHeight="1">
      <c r="A29" s="12" t="inlineStr"/>
      <c r="B29" s="13" t="inlineStr">
        <is>
          <t>GOVERN</t>
        </is>
      </c>
      <c r="C29" s="14" t="inlineStr">
        <is>
          <t>Supply Chain Risk Management</t>
        </is>
      </c>
      <c r="D29" s="15" t="inlineStr">
        <is>
          <t>GV.SC-03</t>
        </is>
      </c>
      <c r="E29" s="14" t="inlineStr">
        <is>
          <t>Contracts require cybersecurity requirements</t>
        </is>
      </c>
      <c r="F29" s="16" t="inlineStr"/>
      <c r="G29" s="16" t="inlineStr"/>
      <c r="H29" s="18" t="inlineStr"/>
    </row>
    <row r="30" ht="18" customHeight="1">
      <c r="A30" s="12" t="inlineStr"/>
      <c r="B30" s="13" t="inlineStr">
        <is>
          <t>GOVERN</t>
        </is>
      </c>
      <c r="C30" s="14" t="inlineStr">
        <is>
          <t>Supply Chain Risk Management</t>
        </is>
      </c>
      <c r="D30" s="15" t="inlineStr">
        <is>
          <t>GV.SC-04</t>
        </is>
      </c>
      <c r="E30" s="14" t="inlineStr">
        <is>
          <t>Suppliers routinely assessed</t>
        </is>
      </c>
      <c r="F30" s="16" t="inlineStr"/>
      <c r="G30" s="16" t="inlineStr"/>
      <c r="H30" s="17" t="inlineStr"/>
    </row>
    <row r="31" ht="18" customHeight="1">
      <c r="A31" s="12" t="inlineStr"/>
      <c r="B31" s="13" t="inlineStr">
        <is>
          <t>GOVERN</t>
        </is>
      </c>
      <c r="C31" s="14" t="inlineStr">
        <is>
          <t>Supply Chain Risk Management</t>
        </is>
      </c>
      <c r="D31" s="15" t="inlineStr">
        <is>
          <t>GV.SC-05</t>
        </is>
      </c>
      <c r="E31" s="14" t="inlineStr">
        <is>
          <t>Response plans for supply chain incidents</t>
        </is>
      </c>
      <c r="F31" s="16" t="inlineStr"/>
      <c r="G31" s="16" t="inlineStr"/>
      <c r="H31" s="18" t="inlineStr"/>
    </row>
    <row r="32" ht="18" customHeight="1">
      <c r="A32" s="12" t="inlineStr"/>
      <c r="B32" s="13" t="inlineStr">
        <is>
          <t>GOVERN</t>
        </is>
      </c>
      <c r="C32" s="14" t="inlineStr">
        <is>
          <t>Supply Chain Risk Management</t>
        </is>
      </c>
      <c r="D32" s="15" t="inlineStr">
        <is>
          <t>GV.SC-06</t>
        </is>
      </c>
      <c r="E32" s="14" t="inlineStr">
        <is>
          <t>Software integrity verified (SBOM)</t>
        </is>
      </c>
      <c r="F32" s="16" t="inlineStr"/>
      <c r="G32" s="16" t="inlineStr"/>
      <c r="H32" s="17" t="inlineStr"/>
    </row>
    <row r="33" ht="18" customHeight="1">
      <c r="A33" s="12" t="inlineStr"/>
      <c r="B33" s="13" t="inlineStr">
        <is>
          <t>GOVERN</t>
        </is>
      </c>
      <c r="C33" s="14" t="inlineStr">
        <is>
          <t>Supply Chain Risk Management</t>
        </is>
      </c>
      <c r="D33" s="15" t="inlineStr">
        <is>
          <t>GV.SC-07</t>
        </is>
      </c>
      <c r="E33" s="14" t="inlineStr">
        <is>
          <t>Risks of acquired components understood</t>
        </is>
      </c>
      <c r="F33" s="16" t="inlineStr"/>
      <c r="G33" s="16" t="inlineStr"/>
      <c r="H33" s="18" t="inlineStr"/>
    </row>
    <row r="34" ht="18" customHeight="1">
      <c r="A34" s="12" t="inlineStr"/>
      <c r="B34" s="13" t="inlineStr">
        <is>
          <t>GOVERN</t>
        </is>
      </c>
      <c r="C34" s="14" t="inlineStr">
        <is>
          <t>Supply Chain Risk Management</t>
        </is>
      </c>
      <c r="D34" s="15" t="inlineStr">
        <is>
          <t>GV.SC-08</t>
        </is>
      </c>
      <c r="E34" s="14" t="inlineStr">
        <is>
          <t>Risks of managed services understood</t>
        </is>
      </c>
      <c r="F34" s="16" t="inlineStr"/>
      <c r="G34" s="16" t="inlineStr"/>
      <c r="H34" s="17" t="inlineStr"/>
    </row>
    <row r="35" ht="18" customHeight="1">
      <c r="A35" s="12" t="inlineStr"/>
      <c r="B35" s="13" t="inlineStr">
        <is>
          <t>GOVERN</t>
        </is>
      </c>
      <c r="C35" s="14" t="inlineStr">
        <is>
          <t>Supply Chain Risk Management</t>
        </is>
      </c>
      <c r="D35" s="15" t="inlineStr">
        <is>
          <t>GV.SC-09</t>
        </is>
      </c>
      <c r="E35" s="14" t="inlineStr">
        <is>
          <t>Security requirements in acquisition contracts</t>
        </is>
      </c>
      <c r="F35" s="16" t="inlineStr"/>
      <c r="G35" s="16" t="inlineStr"/>
      <c r="H35" s="18" t="inlineStr"/>
    </row>
    <row r="36" ht="18" customHeight="1">
      <c r="A36" s="12" t="inlineStr"/>
      <c r="B36" s="13" t="inlineStr">
        <is>
          <t>GOVERN</t>
        </is>
      </c>
      <c r="C36" s="14" t="inlineStr">
        <is>
          <t>Supply Chain Risk Management</t>
        </is>
      </c>
      <c r="D36" s="15" t="inlineStr">
        <is>
          <t>GV.SC-10</t>
        </is>
      </c>
      <c r="E36" s="14" t="inlineStr">
        <is>
          <t>Supply chain effectiveness reviewed</t>
        </is>
      </c>
      <c r="F36" s="16" t="inlineStr"/>
      <c r="G36" s="16" t="inlineStr"/>
      <c r="H36" s="17" t="inlineStr"/>
    </row>
    <row r="37" ht="6" customHeight="1"/>
    <row r="38" ht="22" customHeight="1">
      <c r="B38" s="19" t="inlineStr">
        <is>
          <t>▶  IDENTIFY (ID)</t>
        </is>
      </c>
    </row>
    <row r="39" ht="18" customHeight="1">
      <c r="A39" s="12" t="inlineStr"/>
      <c r="B39" s="20" t="inlineStr">
        <is>
          <t>IDENTIFY</t>
        </is>
      </c>
      <c r="C39" s="14" t="inlineStr">
        <is>
          <t>Asset Management</t>
        </is>
      </c>
      <c r="D39" s="15" t="inlineStr">
        <is>
          <t>ID.AM-01</t>
        </is>
      </c>
      <c r="E39" s="14" t="inlineStr">
        <is>
          <t>Hardware asset inventory maintained</t>
        </is>
      </c>
      <c r="F39" s="16" t="inlineStr"/>
      <c r="G39" s="16" t="inlineStr"/>
      <c r="H39" s="18" t="inlineStr"/>
    </row>
    <row r="40" ht="18" customHeight="1">
      <c r="A40" s="12" t="inlineStr"/>
      <c r="B40" s="20" t="inlineStr">
        <is>
          <t>IDENTIFY</t>
        </is>
      </c>
      <c r="C40" s="14" t="inlineStr">
        <is>
          <t>Asset Management</t>
        </is>
      </c>
      <c r="D40" s="15" t="inlineStr">
        <is>
          <t>ID.AM-02</t>
        </is>
      </c>
      <c r="E40" s="14" t="inlineStr">
        <is>
          <t>Software asset inventory maintained</t>
        </is>
      </c>
      <c r="F40" s="16" t="inlineStr"/>
      <c r="G40" s="16" t="inlineStr"/>
      <c r="H40" s="17" t="inlineStr"/>
    </row>
    <row r="41" ht="18" customHeight="1">
      <c r="A41" s="12" t="inlineStr"/>
      <c r="B41" s="20" t="inlineStr">
        <is>
          <t>IDENTIFY</t>
        </is>
      </c>
      <c r="C41" s="14" t="inlineStr">
        <is>
          <t>Asset Management</t>
        </is>
      </c>
      <c r="D41" s="15" t="inlineStr">
        <is>
          <t>ID.AM-03</t>
        </is>
      </c>
      <c r="E41" s="14" t="inlineStr">
        <is>
          <t>Network and data flow inventory maintained</t>
        </is>
      </c>
      <c r="F41" s="16" t="inlineStr"/>
      <c r="G41" s="16" t="inlineStr"/>
      <c r="H41" s="18" t="inlineStr"/>
    </row>
    <row r="42" ht="18" customHeight="1">
      <c r="A42" s="12" t="inlineStr"/>
      <c r="B42" s="20" t="inlineStr">
        <is>
          <t>IDENTIFY</t>
        </is>
      </c>
      <c r="C42" s="14" t="inlineStr">
        <is>
          <t>Asset Management</t>
        </is>
      </c>
      <c r="D42" s="15" t="inlineStr">
        <is>
          <t>ID.AM-04</t>
        </is>
      </c>
      <c r="E42" s="14" t="inlineStr">
        <is>
          <t>Service inventory maintained</t>
        </is>
      </c>
      <c r="F42" s="16" t="inlineStr"/>
      <c r="G42" s="16" t="inlineStr"/>
      <c r="H42" s="17" t="inlineStr"/>
    </row>
    <row r="43" ht="18" customHeight="1">
      <c r="A43" s="12" t="inlineStr"/>
      <c r="B43" s="20" t="inlineStr">
        <is>
          <t>IDENTIFY</t>
        </is>
      </c>
      <c r="C43" s="14" t="inlineStr">
        <is>
          <t>Asset Management</t>
        </is>
      </c>
      <c r="D43" s="15" t="inlineStr">
        <is>
          <t>ID.AM-05</t>
        </is>
      </c>
      <c r="E43" s="14" t="inlineStr">
        <is>
          <t>Assets prioritized by criticality</t>
        </is>
      </c>
      <c r="F43" s="16" t="inlineStr"/>
      <c r="G43" s="16" t="inlineStr"/>
      <c r="H43" s="18" t="inlineStr"/>
    </row>
    <row r="44" ht="18" customHeight="1">
      <c r="A44" s="12" t="inlineStr"/>
      <c r="B44" s="20" t="inlineStr">
        <is>
          <t>IDENTIFY</t>
        </is>
      </c>
      <c r="C44" s="14" t="inlineStr">
        <is>
          <t>Asset Management</t>
        </is>
      </c>
      <c r="D44" s="15" t="inlineStr">
        <is>
          <t>ID.AM-07</t>
        </is>
      </c>
      <c r="E44" s="14" t="inlineStr">
        <is>
          <t>Data and data types inventoried</t>
        </is>
      </c>
      <c r="F44" s="16" t="inlineStr"/>
      <c r="G44" s="16" t="inlineStr"/>
      <c r="H44" s="17" t="inlineStr"/>
    </row>
    <row r="45" ht="18" customHeight="1">
      <c r="A45" s="12" t="inlineStr"/>
      <c r="B45" s="20" t="inlineStr">
        <is>
          <t>IDENTIFY</t>
        </is>
      </c>
      <c r="C45" s="14" t="inlineStr">
        <is>
          <t>Asset Management</t>
        </is>
      </c>
      <c r="D45" s="15" t="inlineStr">
        <is>
          <t>ID.AM-08</t>
        </is>
      </c>
      <c r="E45" s="14" t="inlineStr">
        <is>
          <t>Assets managed through lifecycle</t>
        </is>
      </c>
      <c r="F45" s="16" t="inlineStr"/>
      <c r="G45" s="16" t="inlineStr"/>
      <c r="H45" s="18" t="inlineStr"/>
    </row>
    <row r="46" ht="18" customHeight="1">
      <c r="A46" s="12" t="inlineStr"/>
      <c r="B46" s="20" t="inlineStr">
        <is>
          <t>IDENTIFY</t>
        </is>
      </c>
      <c r="C46" s="14" t="inlineStr">
        <is>
          <t>Risk Assessment</t>
        </is>
      </c>
      <c r="D46" s="15" t="inlineStr">
        <is>
          <t>ID.RA-01</t>
        </is>
      </c>
      <c r="E46" s="14" t="inlineStr">
        <is>
          <t>Vulnerabilities identified and validated</t>
        </is>
      </c>
      <c r="F46" s="16" t="inlineStr"/>
      <c r="G46" s="16" t="inlineStr"/>
      <c r="H46" s="17" t="inlineStr"/>
    </row>
    <row r="47" ht="18" customHeight="1">
      <c r="A47" s="12" t="inlineStr"/>
      <c r="B47" s="20" t="inlineStr">
        <is>
          <t>IDENTIFY</t>
        </is>
      </c>
      <c r="C47" s="14" t="inlineStr">
        <is>
          <t>Risk Assessment</t>
        </is>
      </c>
      <c r="D47" s="15" t="inlineStr">
        <is>
          <t>ID.RA-02</t>
        </is>
      </c>
      <c r="E47" s="14" t="inlineStr">
        <is>
          <t>Threat intelligence received</t>
        </is>
      </c>
      <c r="F47" s="16" t="inlineStr"/>
      <c r="G47" s="16" t="inlineStr"/>
      <c r="H47" s="18" t="inlineStr"/>
    </row>
    <row r="48" ht="18" customHeight="1">
      <c r="A48" s="12" t="inlineStr"/>
      <c r="B48" s="20" t="inlineStr">
        <is>
          <t>IDENTIFY</t>
        </is>
      </c>
      <c r="C48" s="14" t="inlineStr">
        <is>
          <t>Risk Assessment</t>
        </is>
      </c>
      <c r="D48" s="15" t="inlineStr">
        <is>
          <t>ID.RA-03</t>
        </is>
      </c>
      <c r="E48" s="14" t="inlineStr">
        <is>
          <t>Internal/external threats identified</t>
        </is>
      </c>
      <c r="F48" s="16" t="inlineStr"/>
      <c r="G48" s="16" t="inlineStr"/>
      <c r="H48" s="17" t="inlineStr"/>
    </row>
    <row r="49" ht="18" customHeight="1">
      <c r="A49" s="12" t="inlineStr"/>
      <c r="B49" s="20" t="inlineStr">
        <is>
          <t>IDENTIFY</t>
        </is>
      </c>
      <c r="C49" s="14" t="inlineStr">
        <is>
          <t>Risk Assessment</t>
        </is>
      </c>
      <c r="D49" s="15" t="inlineStr">
        <is>
          <t>ID.RA-04</t>
        </is>
      </c>
      <c r="E49" s="14" t="inlineStr">
        <is>
          <t>Impacts and likelihoods considered</t>
        </is>
      </c>
      <c r="F49" s="16" t="inlineStr"/>
      <c r="G49" s="16" t="inlineStr"/>
      <c r="H49" s="18" t="inlineStr"/>
    </row>
    <row r="50" ht="18" customHeight="1">
      <c r="A50" s="12" t="inlineStr"/>
      <c r="B50" s="20" t="inlineStr">
        <is>
          <t>IDENTIFY</t>
        </is>
      </c>
      <c r="C50" s="14" t="inlineStr">
        <is>
          <t>Risk Assessment</t>
        </is>
      </c>
      <c r="D50" s="15" t="inlineStr">
        <is>
          <t>ID.RA-05</t>
        </is>
      </c>
      <c r="E50" s="14" t="inlineStr">
        <is>
          <t>Risk understood from threats/vulnerabilities</t>
        </is>
      </c>
      <c r="F50" s="16" t="inlineStr"/>
      <c r="G50" s="16" t="inlineStr"/>
      <c r="H50" s="17" t="inlineStr"/>
    </row>
    <row r="51" ht="18" customHeight="1">
      <c r="A51" s="12" t="inlineStr"/>
      <c r="B51" s="20" t="inlineStr">
        <is>
          <t>IDENTIFY</t>
        </is>
      </c>
      <c r="C51" s="14" t="inlineStr">
        <is>
          <t>Risk Assessment</t>
        </is>
      </c>
      <c r="D51" s="15" t="inlineStr">
        <is>
          <t>ID.RA-06</t>
        </is>
      </c>
      <c r="E51" s="14" t="inlineStr">
        <is>
          <t>Risk responses chosen and tracked</t>
        </is>
      </c>
      <c r="F51" s="16" t="inlineStr"/>
      <c r="G51" s="16" t="inlineStr"/>
      <c r="H51" s="18" t="inlineStr"/>
    </row>
    <row r="52" ht="18" customHeight="1">
      <c r="A52" s="12" t="inlineStr"/>
      <c r="B52" s="20" t="inlineStr">
        <is>
          <t>IDENTIFY</t>
        </is>
      </c>
      <c r="C52" s="14" t="inlineStr">
        <is>
          <t>Risk Assessment</t>
        </is>
      </c>
      <c r="D52" s="15" t="inlineStr">
        <is>
          <t>ID.RA-07</t>
        </is>
      </c>
      <c r="E52" s="14" t="inlineStr">
        <is>
          <t>Changes and exceptions managed</t>
        </is>
      </c>
      <c r="F52" s="16" t="inlineStr"/>
      <c r="G52" s="16" t="inlineStr"/>
      <c r="H52" s="17" t="inlineStr"/>
    </row>
    <row r="53" ht="18" customHeight="1">
      <c r="A53" s="12" t="inlineStr"/>
      <c r="B53" s="20" t="inlineStr">
        <is>
          <t>IDENTIFY</t>
        </is>
      </c>
      <c r="C53" s="14" t="inlineStr">
        <is>
          <t>Risk Assessment</t>
        </is>
      </c>
      <c r="D53" s="15" t="inlineStr">
        <is>
          <t>ID.RA-08</t>
        </is>
      </c>
      <c r="E53" s="14" t="inlineStr">
        <is>
          <t>Vulnerability disclosure processes established</t>
        </is>
      </c>
      <c r="F53" s="16" t="inlineStr"/>
      <c r="G53" s="16" t="inlineStr"/>
      <c r="H53" s="18" t="inlineStr"/>
    </row>
    <row r="54" ht="18" customHeight="1">
      <c r="A54" s="12" t="inlineStr"/>
      <c r="B54" s="20" t="inlineStr">
        <is>
          <t>IDENTIFY</t>
        </is>
      </c>
      <c r="C54" s="14" t="inlineStr">
        <is>
          <t>Risk Assessment</t>
        </is>
      </c>
      <c r="D54" s="15" t="inlineStr">
        <is>
          <t>ID.RA-09</t>
        </is>
      </c>
      <c r="E54" s="14" t="inlineStr">
        <is>
          <t>Software and hardware authenticity verified</t>
        </is>
      </c>
      <c r="F54" s="16" t="inlineStr"/>
      <c r="G54" s="16" t="inlineStr"/>
      <c r="H54" s="17" t="inlineStr"/>
    </row>
    <row r="55" ht="18" customHeight="1">
      <c r="A55" s="12" t="inlineStr"/>
      <c r="B55" s="20" t="inlineStr">
        <is>
          <t>IDENTIFY</t>
        </is>
      </c>
      <c r="C55" s="14" t="inlineStr">
        <is>
          <t>Risk Assessment</t>
        </is>
      </c>
      <c r="D55" s="15" t="inlineStr">
        <is>
          <t>ID.RA-10</t>
        </is>
      </c>
      <c r="E55" s="14" t="inlineStr">
        <is>
          <t>Critical suppliers assessed pre-contract</t>
        </is>
      </c>
      <c r="F55" s="16" t="inlineStr"/>
      <c r="G55" s="16" t="inlineStr"/>
      <c r="H55" s="18" t="inlineStr"/>
    </row>
    <row r="56" ht="18" customHeight="1">
      <c r="A56" s="12" t="inlineStr"/>
      <c r="B56" s="20" t="inlineStr">
        <is>
          <t>IDENTIFY</t>
        </is>
      </c>
      <c r="C56" s="14" t="inlineStr">
        <is>
          <t>Improvement</t>
        </is>
      </c>
      <c r="D56" s="15" t="inlineStr">
        <is>
          <t>ID.IM-01</t>
        </is>
      </c>
      <c r="E56" s="14" t="inlineStr">
        <is>
          <t>Improvements identified from evaluations</t>
        </is>
      </c>
      <c r="F56" s="16" t="inlineStr"/>
      <c r="G56" s="16" t="inlineStr"/>
      <c r="H56" s="17" t="inlineStr"/>
    </row>
    <row r="57" ht="18" customHeight="1">
      <c r="A57" s="12" t="inlineStr"/>
      <c r="B57" s="20" t="inlineStr">
        <is>
          <t>IDENTIFY</t>
        </is>
      </c>
      <c r="C57" s="14" t="inlineStr">
        <is>
          <t>Improvement</t>
        </is>
      </c>
      <c r="D57" s="15" t="inlineStr">
        <is>
          <t>ID.IM-02</t>
        </is>
      </c>
      <c r="E57" s="14" t="inlineStr">
        <is>
          <t>Improvements identified from security tests</t>
        </is>
      </c>
      <c r="F57" s="16" t="inlineStr"/>
      <c r="G57" s="16" t="inlineStr"/>
      <c r="H57" s="18" t="inlineStr"/>
    </row>
    <row r="58" ht="18" customHeight="1">
      <c r="A58" s="12" t="inlineStr"/>
      <c r="B58" s="20" t="inlineStr">
        <is>
          <t>IDENTIFY</t>
        </is>
      </c>
      <c r="C58" s="14" t="inlineStr">
        <is>
          <t>Improvement</t>
        </is>
      </c>
      <c r="D58" s="15" t="inlineStr">
        <is>
          <t>ID.IM-03</t>
        </is>
      </c>
      <c r="E58" s="14" t="inlineStr">
        <is>
          <t>Improvements from operational processes</t>
        </is>
      </c>
      <c r="F58" s="16" t="inlineStr"/>
      <c r="G58" s="16" t="inlineStr"/>
      <c r="H58" s="17" t="inlineStr"/>
    </row>
    <row r="59" ht="18" customHeight="1">
      <c r="A59" s="12" t="inlineStr"/>
      <c r="B59" s="20" t="inlineStr">
        <is>
          <t>IDENTIFY</t>
        </is>
      </c>
      <c r="C59" s="14" t="inlineStr">
        <is>
          <t>Improvement</t>
        </is>
      </c>
      <c r="D59" s="15" t="inlineStr">
        <is>
          <t>ID.IM-04</t>
        </is>
      </c>
      <c r="E59" s="14" t="inlineStr">
        <is>
          <t>Incident response evaluated and documented</t>
        </is>
      </c>
      <c r="F59" s="16" t="inlineStr"/>
      <c r="G59" s="16" t="inlineStr"/>
      <c r="H59" s="18" t="inlineStr"/>
    </row>
    <row r="60" ht="6" customHeight="1"/>
    <row r="61" ht="22" customHeight="1">
      <c r="B61" s="21" t="inlineStr">
        <is>
          <t>▶  PROTECT (PR)</t>
        </is>
      </c>
    </row>
    <row r="62" ht="18" customHeight="1">
      <c r="A62" s="12" t="inlineStr"/>
      <c r="B62" s="22" t="inlineStr">
        <is>
          <t>PROTECT</t>
        </is>
      </c>
      <c r="C62" s="23" t="inlineStr">
        <is>
          <t>Identity Mgmt, Auth &amp; Access Control</t>
        </is>
      </c>
      <c r="D62" s="24" t="inlineStr">
        <is>
          <t>PR.AA-01</t>
        </is>
      </c>
      <c r="E62" s="23" t="inlineStr">
        <is>
          <t>User, service, and hardware identities managed</t>
        </is>
      </c>
      <c r="F62" s="16" t="inlineStr"/>
      <c r="G62" s="16" t="inlineStr"/>
      <c r="H62" s="17" t="inlineStr"/>
    </row>
    <row r="63" ht="18" customHeight="1">
      <c r="A63" s="12" t="inlineStr"/>
      <c r="B63" s="22" t="inlineStr">
        <is>
          <t>PROTECT</t>
        </is>
      </c>
      <c r="C63" s="23" t="inlineStr">
        <is>
          <t>Identity Mgmt, Auth &amp; Access Control</t>
        </is>
      </c>
      <c r="D63" s="24" t="inlineStr">
        <is>
          <t>PR.AA-02</t>
        </is>
      </c>
      <c r="E63" s="23" t="inlineStr">
        <is>
          <t>Identities proofed and bound to credentials</t>
        </is>
      </c>
      <c r="F63" s="16" t="inlineStr"/>
      <c r="G63" s="16" t="inlineStr"/>
      <c r="H63" s="18" t="inlineStr"/>
    </row>
    <row r="64" ht="18" customHeight="1">
      <c r="A64" s="12" t="inlineStr"/>
      <c r="B64" s="22" t="inlineStr">
        <is>
          <t>PROTECT</t>
        </is>
      </c>
      <c r="C64" s="23" t="inlineStr">
        <is>
          <t>Identity Mgmt, Auth &amp; Access Control</t>
        </is>
      </c>
      <c r="D64" s="24" t="inlineStr">
        <is>
          <t>PR.AA-03</t>
        </is>
      </c>
      <c r="E64" s="23" t="inlineStr">
        <is>
          <t>Users and services authenticated (MFA)</t>
        </is>
      </c>
      <c r="F64" s="16" t="inlineStr"/>
      <c r="G64" s="16" t="inlineStr"/>
      <c r="H64" s="17" t="inlineStr"/>
    </row>
    <row r="65" ht="18" customHeight="1">
      <c r="A65" s="12" t="inlineStr"/>
      <c r="B65" s="22" t="inlineStr">
        <is>
          <t>PROTECT</t>
        </is>
      </c>
      <c r="C65" s="23" t="inlineStr">
        <is>
          <t>Identity Mgmt, Auth &amp; Access Control</t>
        </is>
      </c>
      <c r="D65" s="24" t="inlineStr">
        <is>
          <t>PR.AA-04</t>
        </is>
      </c>
      <c r="E65" s="23" t="inlineStr">
        <is>
          <t>Identity assertions protected</t>
        </is>
      </c>
      <c r="F65" s="16" t="inlineStr"/>
      <c r="G65" s="16" t="inlineStr"/>
      <c r="H65" s="18" t="inlineStr"/>
    </row>
    <row r="66" ht="18" customHeight="1">
      <c r="A66" s="12" t="inlineStr"/>
      <c r="B66" s="22" t="inlineStr">
        <is>
          <t>PROTECT</t>
        </is>
      </c>
      <c r="C66" s="23" t="inlineStr">
        <is>
          <t>Identity Mgmt, Auth &amp; Access Control</t>
        </is>
      </c>
      <c r="D66" s="24" t="inlineStr">
        <is>
          <t>PR.AA-05</t>
        </is>
      </c>
      <c r="E66" s="23" t="inlineStr">
        <is>
          <t>Access permissions and authorizations managed</t>
        </is>
      </c>
      <c r="F66" s="16" t="inlineStr"/>
      <c r="G66" s="16" t="inlineStr"/>
      <c r="H66" s="17" t="inlineStr"/>
    </row>
    <row r="67" ht="18" customHeight="1">
      <c r="A67" s="12" t="inlineStr"/>
      <c r="B67" s="22" t="inlineStr">
        <is>
          <t>PROTECT</t>
        </is>
      </c>
      <c r="C67" s="23" t="inlineStr">
        <is>
          <t>Identity Mgmt, Auth &amp; Access Control</t>
        </is>
      </c>
      <c r="D67" s="24" t="inlineStr">
        <is>
          <t>PR.AA-06</t>
        </is>
      </c>
      <c r="E67" s="23" t="inlineStr">
        <is>
          <t>Physical access controlled</t>
        </is>
      </c>
      <c r="F67" s="16" t="inlineStr"/>
      <c r="G67" s="16" t="inlineStr"/>
      <c r="H67" s="18" t="inlineStr"/>
    </row>
    <row r="68" ht="18" customHeight="1">
      <c r="A68" s="12" t="inlineStr"/>
      <c r="B68" s="22" t="inlineStr">
        <is>
          <t>PROTECT</t>
        </is>
      </c>
      <c r="C68" s="23" t="inlineStr">
        <is>
          <t>Awareness and Training</t>
        </is>
      </c>
      <c r="D68" s="24" t="inlineStr">
        <is>
          <t>PR.AT-01</t>
        </is>
      </c>
      <c r="E68" s="23" t="inlineStr">
        <is>
          <t>Awareness and training provided to all personnel</t>
        </is>
      </c>
      <c r="F68" s="16" t="inlineStr"/>
      <c r="G68" s="16" t="inlineStr"/>
      <c r="H68" s="17" t="inlineStr"/>
    </row>
    <row r="69" ht="18" customHeight="1">
      <c r="A69" s="12" t="inlineStr"/>
      <c r="B69" s="22" t="inlineStr">
        <is>
          <t>PROTECT</t>
        </is>
      </c>
      <c r="C69" s="23" t="inlineStr">
        <is>
          <t>Awareness and Training</t>
        </is>
      </c>
      <c r="D69" s="24" t="inlineStr">
        <is>
          <t>PR.AT-02</t>
        </is>
      </c>
      <c r="E69" s="23" t="inlineStr">
        <is>
          <t>Specialized role training provided</t>
        </is>
      </c>
      <c r="F69" s="16" t="inlineStr"/>
      <c r="G69" s="16" t="inlineStr"/>
      <c r="H69" s="18" t="inlineStr"/>
    </row>
    <row r="70" ht="18" customHeight="1">
      <c r="A70" s="12" t="inlineStr"/>
      <c r="B70" s="22" t="inlineStr">
        <is>
          <t>PROTECT</t>
        </is>
      </c>
      <c r="C70" s="23" t="inlineStr">
        <is>
          <t>Data Security</t>
        </is>
      </c>
      <c r="D70" s="24" t="inlineStr">
        <is>
          <t>PR.DS-01</t>
        </is>
      </c>
      <c r="E70" s="23" t="inlineStr">
        <is>
          <t>Data-at-rest protected</t>
        </is>
      </c>
      <c r="F70" s="16" t="inlineStr"/>
      <c r="G70" s="16" t="inlineStr"/>
      <c r="H70" s="17" t="inlineStr"/>
    </row>
    <row r="71" ht="18" customHeight="1">
      <c r="A71" s="12" t="inlineStr"/>
      <c r="B71" s="22" t="inlineStr">
        <is>
          <t>PROTECT</t>
        </is>
      </c>
      <c r="C71" s="23" t="inlineStr">
        <is>
          <t>Data Security</t>
        </is>
      </c>
      <c r="D71" s="24" t="inlineStr">
        <is>
          <t>PR.DS-02</t>
        </is>
      </c>
      <c r="E71" s="23" t="inlineStr">
        <is>
          <t>Data-in-transit protected</t>
        </is>
      </c>
      <c r="F71" s="16" t="inlineStr"/>
      <c r="G71" s="16" t="inlineStr"/>
      <c r="H71" s="18" t="inlineStr"/>
    </row>
    <row r="72" ht="18" customHeight="1">
      <c r="A72" s="12" t="inlineStr"/>
      <c r="B72" s="22" t="inlineStr">
        <is>
          <t>PROTECT</t>
        </is>
      </c>
      <c r="C72" s="23" t="inlineStr">
        <is>
          <t>Data Security</t>
        </is>
      </c>
      <c r="D72" s="24" t="inlineStr">
        <is>
          <t>PR.DS-10</t>
        </is>
      </c>
      <c r="E72" s="23" t="inlineStr">
        <is>
          <t>Data-in-use protected</t>
        </is>
      </c>
      <c r="F72" s="16" t="inlineStr"/>
      <c r="G72" s="16" t="inlineStr"/>
      <c r="H72" s="17" t="inlineStr"/>
    </row>
    <row r="73" ht="18" customHeight="1">
      <c r="A73" s="12" t="inlineStr"/>
      <c r="B73" s="22" t="inlineStr">
        <is>
          <t>PROTECT</t>
        </is>
      </c>
      <c r="C73" s="23" t="inlineStr">
        <is>
          <t>Data Security</t>
        </is>
      </c>
      <c r="D73" s="24" t="inlineStr">
        <is>
          <t>PR.DS-11</t>
        </is>
      </c>
      <c r="E73" s="23" t="inlineStr">
        <is>
          <t>Backups created, protected, maintained, and tested</t>
        </is>
      </c>
      <c r="F73" s="16" t="inlineStr"/>
      <c r="G73" s="16" t="inlineStr"/>
      <c r="H73" s="18" t="inlineStr"/>
    </row>
    <row r="74" ht="18" customHeight="1">
      <c r="A74" s="12" t="inlineStr"/>
      <c r="B74" s="22" t="inlineStr">
        <is>
          <t>PROTECT</t>
        </is>
      </c>
      <c r="C74" s="23" t="inlineStr">
        <is>
          <t>Platform Security</t>
        </is>
      </c>
      <c r="D74" s="24" t="inlineStr">
        <is>
          <t>PR.PS-01</t>
        </is>
      </c>
      <c r="E74" s="23" t="inlineStr">
        <is>
          <t>Configuration management applied</t>
        </is>
      </c>
      <c r="F74" s="16" t="inlineStr"/>
      <c r="G74" s="16" t="inlineStr"/>
      <c r="H74" s="17" t="inlineStr"/>
    </row>
    <row r="75" ht="18" customHeight="1">
      <c r="A75" s="12" t="inlineStr"/>
      <c r="B75" s="22" t="inlineStr">
        <is>
          <t>PROTECT</t>
        </is>
      </c>
      <c r="C75" s="23" t="inlineStr">
        <is>
          <t>Platform Security</t>
        </is>
      </c>
      <c r="D75" s="24" t="inlineStr">
        <is>
          <t>PR.PS-02</t>
        </is>
      </c>
      <c r="E75" s="23" t="inlineStr">
        <is>
          <t>Software maintained and replaced</t>
        </is>
      </c>
      <c r="F75" s="16" t="inlineStr"/>
      <c r="G75" s="16" t="inlineStr"/>
      <c r="H75" s="18" t="inlineStr"/>
    </row>
    <row r="76" ht="18" customHeight="1">
      <c r="A76" s="12" t="inlineStr"/>
      <c r="B76" s="22" t="inlineStr">
        <is>
          <t>PROTECT</t>
        </is>
      </c>
      <c r="C76" s="23" t="inlineStr">
        <is>
          <t>Platform Security</t>
        </is>
      </c>
      <c r="D76" s="24" t="inlineStr">
        <is>
          <t>PR.PS-03</t>
        </is>
      </c>
      <c r="E76" s="23" t="inlineStr">
        <is>
          <t>Hardware maintained and replaced</t>
        </is>
      </c>
      <c r="F76" s="16" t="inlineStr"/>
      <c r="G76" s="16" t="inlineStr"/>
      <c r="H76" s="17" t="inlineStr"/>
    </row>
    <row r="77" ht="18" customHeight="1">
      <c r="A77" s="12" t="inlineStr"/>
      <c r="B77" s="22" t="inlineStr">
        <is>
          <t>PROTECT</t>
        </is>
      </c>
      <c r="C77" s="23" t="inlineStr">
        <is>
          <t>Platform Security</t>
        </is>
      </c>
      <c r="D77" s="24" t="inlineStr">
        <is>
          <t>PR.PS-04</t>
        </is>
      </c>
      <c r="E77" s="23" t="inlineStr">
        <is>
          <t>Log records generated for monitoring</t>
        </is>
      </c>
      <c r="F77" s="16" t="inlineStr"/>
      <c r="G77" s="16" t="inlineStr"/>
      <c r="H77" s="18" t="inlineStr"/>
    </row>
    <row r="78" ht="18" customHeight="1">
      <c r="A78" s="12" t="inlineStr"/>
      <c r="B78" s="22" t="inlineStr">
        <is>
          <t>PROTECT</t>
        </is>
      </c>
      <c r="C78" s="23" t="inlineStr">
        <is>
          <t>Platform Security</t>
        </is>
      </c>
      <c r="D78" s="24" t="inlineStr">
        <is>
          <t>PR.PS-05</t>
        </is>
      </c>
      <c r="E78" s="23" t="inlineStr">
        <is>
          <t>Unauthorized software prevented</t>
        </is>
      </c>
      <c r="F78" s="16" t="inlineStr"/>
      <c r="G78" s="16" t="inlineStr"/>
      <c r="H78" s="17" t="inlineStr"/>
    </row>
    <row r="79" ht="18" customHeight="1">
      <c r="A79" s="12" t="inlineStr"/>
      <c r="B79" s="22" t="inlineStr">
        <is>
          <t>PROTECT</t>
        </is>
      </c>
      <c r="C79" s="23" t="inlineStr">
        <is>
          <t>Platform Security</t>
        </is>
      </c>
      <c r="D79" s="24" t="inlineStr">
        <is>
          <t>PR.PS-06</t>
        </is>
      </c>
      <c r="E79" s="23" t="inlineStr">
        <is>
          <t>Secure software development practices applied</t>
        </is>
      </c>
      <c r="F79" s="16" t="inlineStr"/>
      <c r="G79" s="16" t="inlineStr"/>
      <c r="H79" s="18" t="inlineStr"/>
    </row>
    <row r="80" ht="18" customHeight="1">
      <c r="A80" s="12" t="inlineStr"/>
      <c r="B80" s="22" t="inlineStr">
        <is>
          <t>PROTECT</t>
        </is>
      </c>
      <c r="C80" s="23" t="inlineStr">
        <is>
          <t>Technology Infrastructure Resilience</t>
        </is>
      </c>
      <c r="D80" s="24" t="inlineStr">
        <is>
          <t>PR.IR-01</t>
        </is>
      </c>
      <c r="E80" s="23" t="inlineStr">
        <is>
          <t>Networks protected from unauthorized access</t>
        </is>
      </c>
      <c r="F80" s="16" t="inlineStr"/>
      <c r="G80" s="16" t="inlineStr"/>
      <c r="H80" s="17" t="inlineStr"/>
    </row>
    <row r="81" ht="18" customHeight="1">
      <c r="A81" s="12" t="inlineStr"/>
      <c r="B81" s="22" t="inlineStr">
        <is>
          <t>PROTECT</t>
        </is>
      </c>
      <c r="C81" s="23" t="inlineStr">
        <is>
          <t>Technology Infrastructure Resilience</t>
        </is>
      </c>
      <c r="D81" s="24" t="inlineStr">
        <is>
          <t>PR.IR-02</t>
        </is>
      </c>
      <c r="E81" s="23" t="inlineStr">
        <is>
          <t>Assets protected from environmental threats</t>
        </is>
      </c>
      <c r="F81" s="16" t="inlineStr"/>
      <c r="G81" s="16" t="inlineStr"/>
      <c r="H81" s="18" t="inlineStr"/>
    </row>
    <row r="82" ht="18" customHeight="1">
      <c r="A82" s="12" t="inlineStr"/>
      <c r="B82" s="22" t="inlineStr">
        <is>
          <t>PROTECT</t>
        </is>
      </c>
      <c r="C82" s="23" t="inlineStr">
        <is>
          <t>Technology Infrastructure Resilience</t>
        </is>
      </c>
      <c r="D82" s="24" t="inlineStr">
        <is>
          <t>PR.IR-03</t>
        </is>
      </c>
      <c r="E82" s="23" t="inlineStr">
        <is>
          <t>Resilience mechanisms implemented</t>
        </is>
      </c>
      <c r="F82" s="16" t="inlineStr"/>
      <c r="G82" s="16" t="inlineStr"/>
      <c r="H82" s="17" t="inlineStr"/>
    </row>
    <row r="83" ht="18" customHeight="1">
      <c r="A83" s="12" t="inlineStr"/>
      <c r="B83" s="22" t="inlineStr">
        <is>
          <t>PROTECT</t>
        </is>
      </c>
      <c r="C83" s="23" t="inlineStr">
        <is>
          <t>Technology Infrastructure Resilience</t>
        </is>
      </c>
      <c r="D83" s="24" t="inlineStr">
        <is>
          <t>PR.IR-04</t>
        </is>
      </c>
      <c r="E83" s="23" t="inlineStr">
        <is>
          <t>Adequate resource capacity ensured</t>
        </is>
      </c>
      <c r="F83" s="16" t="inlineStr"/>
      <c r="G83" s="16" t="inlineStr"/>
      <c r="H83" s="18" t="inlineStr"/>
    </row>
    <row r="84" ht="6" customHeight="1"/>
    <row r="85" ht="22" customHeight="1">
      <c r="B85" s="25" t="inlineStr">
        <is>
          <t>▶  DETECT (DE)</t>
        </is>
      </c>
    </row>
    <row r="86" ht="18" customHeight="1">
      <c r="A86" s="12" t="inlineStr"/>
      <c r="B86" s="26" t="inlineStr">
        <is>
          <t>DETECT</t>
        </is>
      </c>
      <c r="C86" s="27" t="inlineStr">
        <is>
          <t>Continuous Monitoring</t>
        </is>
      </c>
      <c r="D86" s="28" t="inlineStr">
        <is>
          <t>DE.CM-01</t>
        </is>
      </c>
      <c r="E86" s="27" t="inlineStr">
        <is>
          <t>Networks and network services monitored</t>
        </is>
      </c>
      <c r="F86" s="16" t="inlineStr"/>
      <c r="G86" s="16" t="inlineStr"/>
      <c r="H86" s="17" t="inlineStr"/>
    </row>
    <row r="87" ht="18" customHeight="1">
      <c r="A87" s="12" t="inlineStr"/>
      <c r="B87" s="26" t="inlineStr">
        <is>
          <t>DETECT</t>
        </is>
      </c>
      <c r="C87" s="27" t="inlineStr">
        <is>
          <t>Continuous Monitoring</t>
        </is>
      </c>
      <c r="D87" s="28" t="inlineStr">
        <is>
          <t>DE.CM-02</t>
        </is>
      </c>
      <c r="E87" s="27" t="inlineStr">
        <is>
          <t>Physical environment monitored</t>
        </is>
      </c>
      <c r="F87" s="16" t="inlineStr"/>
      <c r="G87" s="16" t="inlineStr"/>
      <c r="H87" s="18" t="inlineStr"/>
    </row>
    <row r="88" ht="18" customHeight="1">
      <c r="A88" s="12" t="inlineStr"/>
      <c r="B88" s="26" t="inlineStr">
        <is>
          <t>DETECT</t>
        </is>
      </c>
      <c r="C88" s="27" t="inlineStr">
        <is>
          <t>Continuous Monitoring</t>
        </is>
      </c>
      <c r="D88" s="28" t="inlineStr">
        <is>
          <t>DE.CM-03</t>
        </is>
      </c>
      <c r="E88" s="27" t="inlineStr">
        <is>
          <t>Personnel activity and technology usage monitored</t>
        </is>
      </c>
      <c r="F88" s="16" t="inlineStr"/>
      <c r="G88" s="16" t="inlineStr"/>
      <c r="H88" s="17" t="inlineStr"/>
    </row>
    <row r="89" ht="18" customHeight="1">
      <c r="A89" s="12" t="inlineStr"/>
      <c r="B89" s="26" t="inlineStr">
        <is>
          <t>DETECT</t>
        </is>
      </c>
      <c r="C89" s="27" t="inlineStr">
        <is>
          <t>Continuous Monitoring</t>
        </is>
      </c>
      <c r="D89" s="28" t="inlineStr">
        <is>
          <t>DE.CM-06</t>
        </is>
      </c>
      <c r="E89" s="27" t="inlineStr">
        <is>
          <t>External service provider activities monitored</t>
        </is>
      </c>
      <c r="F89" s="16" t="inlineStr"/>
      <c r="G89" s="16" t="inlineStr"/>
      <c r="H89" s="18" t="inlineStr"/>
    </row>
    <row r="90" ht="18" customHeight="1">
      <c r="A90" s="12" t="inlineStr"/>
      <c r="B90" s="26" t="inlineStr">
        <is>
          <t>DETECT</t>
        </is>
      </c>
      <c r="C90" s="27" t="inlineStr">
        <is>
          <t>Continuous Monitoring</t>
        </is>
      </c>
      <c r="D90" s="28" t="inlineStr">
        <is>
          <t>DE.CM-09</t>
        </is>
      </c>
      <c r="E90" s="27" t="inlineStr">
        <is>
          <t>Computing hardware and software monitored</t>
        </is>
      </c>
      <c r="F90" s="16" t="inlineStr"/>
      <c r="G90" s="16" t="inlineStr"/>
      <c r="H90" s="17" t="inlineStr"/>
    </row>
    <row r="91" ht="18" customHeight="1">
      <c r="A91" s="12" t="inlineStr"/>
      <c r="B91" s="26" t="inlineStr">
        <is>
          <t>DETECT</t>
        </is>
      </c>
      <c r="C91" s="27" t="inlineStr">
        <is>
          <t>Adverse Event Analysis</t>
        </is>
      </c>
      <c r="D91" s="28" t="inlineStr">
        <is>
          <t>DE.AE-02</t>
        </is>
      </c>
      <c r="E91" s="27" t="inlineStr">
        <is>
          <t>Adverse events analyzed to characterize them</t>
        </is>
      </c>
      <c r="F91" s="16" t="inlineStr"/>
      <c r="G91" s="16" t="inlineStr"/>
      <c r="H91" s="18" t="inlineStr"/>
    </row>
    <row r="92" ht="18" customHeight="1">
      <c r="A92" s="12" t="inlineStr"/>
      <c r="B92" s="26" t="inlineStr">
        <is>
          <t>DETECT</t>
        </is>
      </c>
      <c r="C92" s="27" t="inlineStr">
        <is>
          <t>Adverse Event Analysis</t>
        </is>
      </c>
      <c r="D92" s="28" t="inlineStr">
        <is>
          <t>DE.AE-03</t>
        </is>
      </c>
      <c r="E92" s="27" t="inlineStr">
        <is>
          <t>Information correlated from multiple sources</t>
        </is>
      </c>
      <c r="F92" s="16" t="inlineStr"/>
      <c r="G92" s="16" t="inlineStr"/>
      <c r="H92" s="17" t="inlineStr"/>
    </row>
    <row r="93" ht="18" customHeight="1">
      <c r="A93" s="12" t="inlineStr"/>
      <c r="B93" s="26" t="inlineStr">
        <is>
          <t>DETECT</t>
        </is>
      </c>
      <c r="C93" s="27" t="inlineStr">
        <is>
          <t>Adverse Event Analysis</t>
        </is>
      </c>
      <c r="D93" s="28" t="inlineStr">
        <is>
          <t>DE.AE-04</t>
        </is>
      </c>
      <c r="E93" s="27" t="inlineStr">
        <is>
          <t>Estimated impact and scope understood</t>
        </is>
      </c>
      <c r="F93" s="16" t="inlineStr"/>
      <c r="G93" s="16" t="inlineStr"/>
      <c r="H93" s="18" t="inlineStr"/>
    </row>
    <row r="94" ht="18" customHeight="1">
      <c r="A94" s="12" t="inlineStr"/>
      <c r="B94" s="26" t="inlineStr">
        <is>
          <t>DETECT</t>
        </is>
      </c>
      <c r="C94" s="27" t="inlineStr">
        <is>
          <t>Adverse Event Analysis</t>
        </is>
      </c>
      <c r="D94" s="28" t="inlineStr">
        <is>
          <t>DE.AE-06</t>
        </is>
      </c>
      <c r="E94" s="27" t="inlineStr">
        <is>
          <t>Information on adverse events provided to staff</t>
        </is>
      </c>
      <c r="F94" s="16" t="inlineStr"/>
      <c r="G94" s="16" t="inlineStr"/>
      <c r="H94" s="17" t="inlineStr"/>
    </row>
    <row r="95" ht="18" customHeight="1">
      <c r="A95" s="12" t="inlineStr"/>
      <c r="B95" s="26" t="inlineStr">
        <is>
          <t>DETECT</t>
        </is>
      </c>
      <c r="C95" s="27" t="inlineStr">
        <is>
          <t>Adverse Event Analysis</t>
        </is>
      </c>
      <c r="D95" s="28" t="inlineStr">
        <is>
          <t>DE.AE-07</t>
        </is>
      </c>
      <c r="E95" s="27" t="inlineStr">
        <is>
          <t>Cyber threat intelligence integrated</t>
        </is>
      </c>
      <c r="F95" s="16" t="inlineStr"/>
      <c r="G95" s="16" t="inlineStr"/>
      <c r="H95" s="18" t="inlineStr"/>
    </row>
    <row r="96" ht="18" customHeight="1">
      <c r="A96" s="12" t="inlineStr"/>
      <c r="B96" s="26" t="inlineStr">
        <is>
          <t>DETECT</t>
        </is>
      </c>
      <c r="C96" s="27" t="inlineStr">
        <is>
          <t>Adverse Event Analysis</t>
        </is>
      </c>
      <c r="D96" s="28" t="inlineStr">
        <is>
          <t>DE.AE-08</t>
        </is>
      </c>
      <c r="E96" s="27" t="inlineStr">
        <is>
          <t>Incidents declared when criteria met</t>
        </is>
      </c>
      <c r="F96" s="16" t="inlineStr"/>
      <c r="G96" s="16" t="inlineStr"/>
      <c r="H96" s="17" t="inlineStr"/>
    </row>
    <row r="97" ht="6" customHeight="1"/>
    <row r="98" ht="22" customHeight="1">
      <c r="B98" s="29" t="inlineStr">
        <is>
          <t>▶  RESPOND (RS)</t>
        </is>
      </c>
    </row>
    <row r="99" ht="18" customHeight="1">
      <c r="A99" s="12" t="inlineStr"/>
      <c r="B99" s="30" t="inlineStr">
        <is>
          <t>RESPOND</t>
        </is>
      </c>
      <c r="C99" s="31" t="inlineStr">
        <is>
          <t>Incident Management</t>
        </is>
      </c>
      <c r="D99" s="32" t="inlineStr">
        <is>
          <t>RS.MA-01</t>
        </is>
      </c>
      <c r="E99" s="31" t="inlineStr">
        <is>
          <t>Incident response plan exists and is executable</t>
        </is>
      </c>
      <c r="F99" s="16" t="inlineStr"/>
      <c r="G99" s="16" t="inlineStr"/>
      <c r="H99" s="18" t="inlineStr"/>
    </row>
    <row r="100" ht="18" customHeight="1">
      <c r="A100" s="12" t="inlineStr"/>
      <c r="B100" s="30" t="inlineStr">
        <is>
          <t>RESPOND</t>
        </is>
      </c>
      <c r="C100" s="31" t="inlineStr">
        <is>
          <t>Incident Management</t>
        </is>
      </c>
      <c r="D100" s="32" t="inlineStr">
        <is>
          <t>RS.MA-02</t>
        </is>
      </c>
      <c r="E100" s="31" t="inlineStr">
        <is>
          <t>Incident reports triaged and validated</t>
        </is>
      </c>
      <c r="F100" s="16" t="inlineStr"/>
      <c r="G100" s="16" t="inlineStr"/>
      <c r="H100" s="17" t="inlineStr"/>
    </row>
    <row r="101" ht="18" customHeight="1">
      <c r="A101" s="12" t="inlineStr"/>
      <c r="B101" s="30" t="inlineStr">
        <is>
          <t>RESPOND</t>
        </is>
      </c>
      <c r="C101" s="31" t="inlineStr">
        <is>
          <t>Incident Management</t>
        </is>
      </c>
      <c r="D101" s="32" t="inlineStr">
        <is>
          <t>RS.MA-03</t>
        </is>
      </c>
      <c r="E101" s="31" t="inlineStr">
        <is>
          <t>Incidents categorized and prioritized</t>
        </is>
      </c>
      <c r="F101" s="16" t="inlineStr"/>
      <c r="G101" s="16" t="inlineStr"/>
      <c r="H101" s="18" t="inlineStr"/>
    </row>
    <row r="102" ht="18" customHeight="1">
      <c r="A102" s="12" t="inlineStr"/>
      <c r="B102" s="30" t="inlineStr">
        <is>
          <t>RESPOND</t>
        </is>
      </c>
      <c r="C102" s="31" t="inlineStr">
        <is>
          <t>Incident Management</t>
        </is>
      </c>
      <c r="D102" s="32" t="inlineStr">
        <is>
          <t>RS.MA-04</t>
        </is>
      </c>
      <c r="E102" s="31" t="inlineStr">
        <is>
          <t>Incidents escalated or elevated as needed</t>
        </is>
      </c>
      <c r="F102" s="16" t="inlineStr"/>
      <c r="G102" s="16" t="inlineStr"/>
      <c r="H102" s="17" t="inlineStr"/>
    </row>
    <row r="103" ht="18" customHeight="1">
      <c r="A103" s="12" t="inlineStr"/>
      <c r="B103" s="30" t="inlineStr">
        <is>
          <t>RESPOND</t>
        </is>
      </c>
      <c r="C103" s="31" t="inlineStr">
        <is>
          <t>Incident Management</t>
        </is>
      </c>
      <c r="D103" s="32" t="inlineStr">
        <is>
          <t>RS.MA-05</t>
        </is>
      </c>
      <c r="E103" s="31" t="inlineStr">
        <is>
          <t>Incidents declared contained after analysis</t>
        </is>
      </c>
      <c r="F103" s="16" t="inlineStr"/>
      <c r="G103" s="16" t="inlineStr"/>
      <c r="H103" s="18" t="inlineStr"/>
    </row>
    <row r="104" ht="18" customHeight="1">
      <c r="A104" s="12" t="inlineStr"/>
      <c r="B104" s="30" t="inlineStr">
        <is>
          <t>RESPOND</t>
        </is>
      </c>
      <c r="C104" s="31" t="inlineStr">
        <is>
          <t>Incident Analysis</t>
        </is>
      </c>
      <c r="D104" s="32" t="inlineStr">
        <is>
          <t>RS.AN-03</t>
        </is>
      </c>
      <c r="E104" s="31" t="inlineStr">
        <is>
          <t>Analysis of what took place during incident</t>
        </is>
      </c>
      <c r="F104" s="16" t="inlineStr"/>
      <c r="G104" s="16" t="inlineStr"/>
      <c r="H104" s="17" t="inlineStr"/>
    </row>
    <row r="105" ht="18" customHeight="1">
      <c r="A105" s="12" t="inlineStr"/>
      <c r="B105" s="30" t="inlineStr">
        <is>
          <t>RESPOND</t>
        </is>
      </c>
      <c r="C105" s="31" t="inlineStr">
        <is>
          <t>Incident Analysis</t>
        </is>
      </c>
      <c r="D105" s="32" t="inlineStr">
        <is>
          <t>RS.AN-06</t>
        </is>
      </c>
      <c r="E105" s="31" t="inlineStr">
        <is>
          <t>Actions during investigation recorded</t>
        </is>
      </c>
      <c r="F105" s="16" t="inlineStr"/>
      <c r="G105" s="16" t="inlineStr"/>
      <c r="H105" s="18" t="inlineStr"/>
    </row>
    <row r="106" ht="18" customHeight="1">
      <c r="A106" s="12" t="inlineStr"/>
      <c r="B106" s="30" t="inlineStr">
        <is>
          <t>RESPOND</t>
        </is>
      </c>
      <c r="C106" s="31" t="inlineStr">
        <is>
          <t>Incident Analysis</t>
        </is>
      </c>
      <c r="D106" s="32" t="inlineStr">
        <is>
          <t>RS.AN-07</t>
        </is>
      </c>
      <c r="E106" s="31" t="inlineStr">
        <is>
          <t>Incident data and metadata collected</t>
        </is>
      </c>
      <c r="F106" s="16" t="inlineStr"/>
      <c r="G106" s="16" t="inlineStr"/>
      <c r="H106" s="17" t="inlineStr"/>
    </row>
    <row r="107" ht="18" customHeight="1">
      <c r="A107" s="12" t="inlineStr"/>
      <c r="B107" s="30" t="inlineStr">
        <is>
          <t>RESPOND</t>
        </is>
      </c>
      <c r="C107" s="31" t="inlineStr">
        <is>
          <t>Incident Analysis</t>
        </is>
      </c>
      <c r="D107" s="32" t="inlineStr">
        <is>
          <t>RS.AN-08</t>
        </is>
      </c>
      <c r="E107" s="31" t="inlineStr">
        <is>
          <t>Incident magnitude estimated and validated</t>
        </is>
      </c>
      <c r="F107" s="16" t="inlineStr"/>
      <c r="G107" s="16" t="inlineStr"/>
      <c r="H107" s="18" t="inlineStr"/>
    </row>
    <row r="108" ht="18" customHeight="1">
      <c r="A108" s="12" t="inlineStr"/>
      <c r="B108" s="30" t="inlineStr">
        <is>
          <t>RESPOND</t>
        </is>
      </c>
      <c r="C108" s="31" t="inlineStr">
        <is>
          <t>Incident Response Reporting</t>
        </is>
      </c>
      <c r="D108" s="32" t="inlineStr">
        <is>
          <t>RS.CO-02</t>
        </is>
      </c>
      <c r="E108" s="31" t="inlineStr">
        <is>
          <t>Internal/external stakeholders notified</t>
        </is>
      </c>
      <c r="F108" s="16" t="inlineStr"/>
      <c r="G108" s="16" t="inlineStr"/>
      <c r="H108" s="17" t="inlineStr"/>
    </row>
    <row r="109" ht="18" customHeight="1">
      <c r="A109" s="12" t="inlineStr"/>
      <c r="B109" s="30" t="inlineStr">
        <is>
          <t>RESPOND</t>
        </is>
      </c>
      <c r="C109" s="31" t="inlineStr">
        <is>
          <t>Incident Response Reporting</t>
        </is>
      </c>
      <c r="D109" s="32" t="inlineStr">
        <is>
          <t>RS.CO-03</t>
        </is>
      </c>
      <c r="E109" s="31" t="inlineStr">
        <is>
          <t>Information shared with designated stakeholders</t>
        </is>
      </c>
      <c r="F109" s="16" t="inlineStr"/>
      <c r="G109" s="16" t="inlineStr"/>
      <c r="H109" s="18" t="inlineStr"/>
    </row>
    <row r="110" ht="18" customHeight="1">
      <c r="A110" s="12" t="inlineStr"/>
      <c r="B110" s="30" t="inlineStr">
        <is>
          <t>RESPOND</t>
        </is>
      </c>
      <c r="C110" s="31" t="inlineStr">
        <is>
          <t>Incident Mitigation</t>
        </is>
      </c>
      <c r="D110" s="32" t="inlineStr">
        <is>
          <t>RS.MI-01</t>
        </is>
      </c>
      <c r="E110" s="31" t="inlineStr">
        <is>
          <t>Incidents contained</t>
        </is>
      </c>
      <c r="F110" s="16" t="inlineStr"/>
      <c r="G110" s="16" t="inlineStr"/>
      <c r="H110" s="17" t="inlineStr"/>
    </row>
    <row r="111" ht="18" customHeight="1">
      <c r="A111" s="12" t="inlineStr"/>
      <c r="B111" s="30" t="inlineStr">
        <is>
          <t>RESPOND</t>
        </is>
      </c>
      <c r="C111" s="31" t="inlineStr">
        <is>
          <t>Incident Mitigation</t>
        </is>
      </c>
      <c r="D111" s="32" t="inlineStr">
        <is>
          <t>RS.MI-02</t>
        </is>
      </c>
      <c r="E111" s="31" t="inlineStr">
        <is>
          <t>Incidents eradicated</t>
        </is>
      </c>
      <c r="F111" s="16" t="inlineStr"/>
      <c r="G111" s="16" t="inlineStr"/>
      <c r="H111" s="18" t="inlineStr"/>
    </row>
    <row r="112" ht="6" customHeight="1"/>
    <row r="113" ht="22" customHeight="1">
      <c r="B113" s="33" t="inlineStr">
        <is>
          <t>▶  RECOVER (RC)</t>
        </is>
      </c>
    </row>
    <row r="114" ht="18" customHeight="1">
      <c r="A114" s="12" t="inlineStr"/>
      <c r="B114" s="34" t="inlineStr">
        <is>
          <t>RECOVER</t>
        </is>
      </c>
      <c r="C114" s="35" t="inlineStr">
        <is>
          <t>Incident Recovery Plan Execution</t>
        </is>
      </c>
      <c r="D114" s="36" t="inlineStr">
        <is>
          <t>RC.RP-01</t>
        </is>
      </c>
      <c r="E114" s="35" t="inlineStr">
        <is>
          <t>Recovery portion of IRP executed</t>
        </is>
      </c>
      <c r="F114" s="16" t="inlineStr"/>
      <c r="G114" s="16" t="inlineStr"/>
      <c r="H114" s="17" t="inlineStr"/>
    </row>
    <row r="115" ht="18" customHeight="1">
      <c r="A115" s="12" t="inlineStr"/>
      <c r="B115" s="34" t="inlineStr">
        <is>
          <t>RECOVER</t>
        </is>
      </c>
      <c r="C115" s="35" t="inlineStr">
        <is>
          <t>Incident Recovery Plan Execution</t>
        </is>
      </c>
      <c r="D115" s="36" t="inlineStr">
        <is>
          <t>RC.RP-02</t>
        </is>
      </c>
      <c r="E115" s="35" t="inlineStr">
        <is>
          <t>Recovery actions selected and performed</t>
        </is>
      </c>
      <c r="F115" s="16" t="inlineStr"/>
      <c r="G115" s="16" t="inlineStr"/>
      <c r="H115" s="18" t="inlineStr"/>
    </row>
    <row r="116" ht="18" customHeight="1">
      <c r="A116" s="12" t="inlineStr"/>
      <c r="B116" s="34" t="inlineStr">
        <is>
          <t>RECOVER</t>
        </is>
      </c>
      <c r="C116" s="35" t="inlineStr">
        <is>
          <t>Incident Recovery Plan Execution</t>
        </is>
      </c>
      <c r="D116" s="36" t="inlineStr">
        <is>
          <t>RC.RP-03</t>
        </is>
      </c>
      <c r="E116" s="35" t="inlineStr">
        <is>
          <t>Completeness of recovery confirmed</t>
        </is>
      </c>
      <c r="F116" s="16" t="inlineStr"/>
      <c r="G116" s="16" t="inlineStr"/>
      <c r="H116" s="17" t="inlineStr"/>
    </row>
    <row r="117" ht="18" customHeight="1">
      <c r="A117" s="12" t="inlineStr"/>
      <c r="B117" s="34" t="inlineStr">
        <is>
          <t>RECOVER</t>
        </is>
      </c>
      <c r="C117" s="35" t="inlineStr">
        <is>
          <t>Incident Recovery Plan Execution</t>
        </is>
      </c>
      <c r="D117" s="36" t="inlineStr">
        <is>
          <t>RC.RP-04</t>
        </is>
      </c>
      <c r="E117" s="35" t="inlineStr">
        <is>
          <t>Reputation strategies applied</t>
        </is>
      </c>
      <c r="F117" s="16" t="inlineStr"/>
      <c r="G117" s="16" t="inlineStr"/>
      <c r="H117" s="18" t="inlineStr"/>
    </row>
    <row r="118" ht="18" customHeight="1">
      <c r="A118" s="12" t="inlineStr"/>
      <c r="B118" s="34" t="inlineStr">
        <is>
          <t>RECOVER</t>
        </is>
      </c>
      <c r="C118" s="35" t="inlineStr">
        <is>
          <t>Incident Recovery Plan Execution</t>
        </is>
      </c>
      <c r="D118" s="36" t="inlineStr">
        <is>
          <t>RC.RP-05</t>
        </is>
      </c>
      <c r="E118" s="35" t="inlineStr">
        <is>
          <t>Recovery activities end when criteria met</t>
        </is>
      </c>
      <c r="F118" s="16" t="inlineStr"/>
      <c r="G118" s="16" t="inlineStr"/>
      <c r="H118" s="17" t="inlineStr"/>
    </row>
    <row r="119" ht="18" customHeight="1">
      <c r="A119" s="12" t="inlineStr"/>
      <c r="B119" s="34" t="inlineStr">
        <is>
          <t>RECOVER</t>
        </is>
      </c>
      <c r="C119" s="35" t="inlineStr">
        <is>
          <t>Incident Recovery Plan Execution</t>
        </is>
      </c>
      <c r="D119" s="36" t="inlineStr">
        <is>
          <t>RC.RP-06</t>
        </is>
      </c>
      <c r="E119" s="35" t="inlineStr">
        <is>
          <t>Lessons learned incorporated</t>
        </is>
      </c>
      <c r="F119" s="16" t="inlineStr"/>
      <c r="G119" s="16" t="inlineStr"/>
      <c r="H119" s="18" t="inlineStr"/>
    </row>
    <row r="120" ht="18" customHeight="1">
      <c r="A120" s="12" t="inlineStr"/>
      <c r="B120" s="34" t="inlineStr">
        <is>
          <t>RECOVER</t>
        </is>
      </c>
      <c r="C120" s="35" t="inlineStr">
        <is>
          <t>Incident Recovery Communication</t>
        </is>
      </c>
      <c r="D120" s="36" t="inlineStr">
        <is>
          <t>RC.CO-03</t>
        </is>
      </c>
      <c r="E120" s="35" t="inlineStr">
        <is>
          <t>Recovery activities communicated to stakeholders</t>
        </is>
      </c>
      <c r="F120" s="16" t="inlineStr"/>
      <c r="G120" s="16" t="inlineStr"/>
      <c r="H120" s="17" t="inlineStr"/>
    </row>
    <row r="121" ht="18" customHeight="1">
      <c r="A121" s="12" t="inlineStr"/>
      <c r="B121" s="34" t="inlineStr">
        <is>
          <t>RECOVER</t>
        </is>
      </c>
      <c r="C121" s="35" t="inlineStr">
        <is>
          <t>Incident Recovery Communication</t>
        </is>
      </c>
      <c r="D121" s="36" t="inlineStr">
        <is>
          <t>RC.CO-04</t>
        </is>
      </c>
      <c r="E121" s="35" t="inlineStr">
        <is>
          <t>Public updates shared via approved methods</t>
        </is>
      </c>
      <c r="F121" s="16" t="inlineStr"/>
      <c r="G121" s="16" t="inlineStr"/>
      <c r="H121" s="18" t="inlineStr"/>
    </row>
  </sheetData>
  <mergeCells count="9">
    <mergeCell ref="B85:H85"/>
    <mergeCell ref="B1:H1"/>
    <mergeCell ref="E2:F2"/>
    <mergeCell ref="B113:H113"/>
    <mergeCell ref="B38:H38"/>
    <mergeCell ref="B5:H5"/>
    <mergeCell ref="B98:H98"/>
    <mergeCell ref="B2:D2"/>
    <mergeCell ref="B61:H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I1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44" customWidth="1" min="4" max="4"/>
    <col width="14" customWidth="1" min="5" max="5"/>
    <col width="14" customWidth="1" min="6" max="6"/>
    <col width="12" customWidth="1" min="7" max="7"/>
    <col width="20" customWidth="1" min="8" max="8"/>
    <col width="30" customWidth="1" min="9" max="9"/>
  </cols>
  <sheetData>
    <row r="1" ht="28" customHeight="1">
      <c r="B1" s="4" t="inlineStr">
        <is>
          <t>NIST CSF 2.0 — Gap Analysis (Auto-Calculated)</t>
        </is>
      </c>
    </row>
    <row r="2" ht="18" customHeight="1">
      <c r="B2" s="37" t="inlineStr">
        <is>
          <t>Gaps are automatically calculated from Current Profile and Target Profile sheets. Positive gap = remediation needed.</t>
        </is>
      </c>
    </row>
    <row r="3" ht="30" customHeight="1">
      <c r="A3" s="8" t="inlineStr"/>
      <c r="B3" s="8" t="inlineStr">
        <is>
          <t>Function</t>
        </is>
      </c>
      <c r="C3" s="8" t="inlineStr">
        <is>
          <t>Subcategory ID</t>
        </is>
      </c>
      <c r="D3" s="8" t="inlineStr">
        <is>
          <t>Subcategory Description</t>
        </is>
      </c>
      <c r="E3" s="8" t="inlineStr">
        <is>
          <t>Current Score</t>
        </is>
      </c>
      <c r="F3" s="8" t="inlineStr">
        <is>
          <t>Target Score</t>
        </is>
      </c>
      <c r="G3" s="8" t="inlineStr">
        <is>
          <t>Gap</t>
        </is>
      </c>
      <c r="H3" s="8" t="inlineStr">
        <is>
          <t>Priority</t>
        </is>
      </c>
      <c r="I3" s="8" t="inlineStr">
        <is>
          <t>Recommended Action</t>
        </is>
      </c>
    </row>
    <row r="4" ht="22" customHeight="1">
      <c r="B4" s="11" t="inlineStr">
        <is>
          <t>▶  GOVERN (GV)</t>
        </is>
      </c>
    </row>
    <row r="5" ht="18" customHeight="1">
      <c r="A5" s="12" t="inlineStr"/>
      <c r="B5" s="13" t="inlineStr">
        <is>
          <t>GOVERN</t>
        </is>
      </c>
      <c r="C5" s="15" t="inlineStr">
        <is>
          <t>GV.OC-01</t>
        </is>
      </c>
      <c r="D5" s="14" t="inlineStr">
        <is>
          <t>Mission, stakeholders, and dependencies understood</t>
        </is>
      </c>
      <c r="E5" s="38">
        <f>'Current Profile'!F6</f>
        <v/>
      </c>
      <c r="F5" s="38">
        <f>'Target Profile'!F6</f>
        <v/>
      </c>
      <c r="G5" s="16">
        <f>IF(ISNUMBER('Target Profile'!F6)*ISNUMBER('Current Profile'!F6),'Target Profile'!F6-'Current Profile'!F6,"")</f>
        <v/>
      </c>
      <c r="H5" s="16">
        <f>IF(G5="","",IF(G5&gt;=3,"🔴 Critical",IF(G5=2,"🟠 High",IF(G5=1,"🟡 Medium","✅ None"))))</f>
        <v/>
      </c>
      <c r="I5" s="17" t="inlineStr"/>
    </row>
    <row r="6" ht="18" customHeight="1">
      <c r="A6" s="12" t="inlineStr"/>
      <c r="B6" s="13" t="inlineStr">
        <is>
          <t>GOVERN</t>
        </is>
      </c>
      <c r="C6" s="15" t="inlineStr">
        <is>
          <t>GV.OC-02</t>
        </is>
      </c>
      <c r="D6" s="14" t="inlineStr">
        <is>
          <t>Legal/regulatory requirements identified</t>
        </is>
      </c>
      <c r="E6" s="38">
        <f>'Current Profile'!F7</f>
        <v/>
      </c>
      <c r="F6" s="38">
        <f>'Target Profile'!F7</f>
        <v/>
      </c>
      <c r="G6" s="16">
        <f>IF(ISNUMBER('Target Profile'!F7)*ISNUMBER('Current Profile'!F7),'Target Profile'!F7-'Current Profile'!F7,"")</f>
        <v/>
      </c>
      <c r="H6" s="16">
        <f>IF(G6="","",IF(G6&gt;=3,"🔴 Critical",IF(G6=2,"🟠 High",IF(G6=1,"🟡 Medium","✅ None"))))</f>
        <v/>
      </c>
      <c r="I6" s="17" t="inlineStr"/>
    </row>
    <row r="7" ht="18" customHeight="1">
      <c r="A7" s="12" t="inlineStr"/>
      <c r="B7" s="13" t="inlineStr">
        <is>
          <t>GOVERN</t>
        </is>
      </c>
      <c r="C7" s="15" t="inlineStr">
        <is>
          <t>GV.OC-03</t>
        </is>
      </c>
      <c r="D7" s="14" t="inlineStr">
        <is>
          <t>Critical objectives and capabilities identified</t>
        </is>
      </c>
      <c r="E7" s="38">
        <f>'Current Profile'!F8</f>
        <v/>
      </c>
      <c r="F7" s="38">
        <f>'Target Profile'!F8</f>
        <v/>
      </c>
      <c r="G7" s="16">
        <f>IF(ISNUMBER('Target Profile'!F8)*ISNUMBER('Current Profile'!F8),'Target Profile'!F8-'Current Profile'!F8,"")</f>
        <v/>
      </c>
      <c r="H7" s="16">
        <f>IF(G7="","",IF(G7&gt;=3,"🔴 Critical",IF(G7=2,"🟠 High",IF(G7=1,"🟡 Medium","✅ None"))))</f>
        <v/>
      </c>
      <c r="I7" s="17" t="inlineStr"/>
    </row>
    <row r="8" ht="18" customHeight="1">
      <c r="A8" s="12" t="inlineStr"/>
      <c r="B8" s="13" t="inlineStr">
        <is>
          <t>GOVERN</t>
        </is>
      </c>
      <c r="C8" s="15" t="inlineStr">
        <is>
          <t>GV.OC-04</t>
        </is>
      </c>
      <c r="D8" s="14" t="inlineStr">
        <is>
          <t>Relationships and dependencies understood</t>
        </is>
      </c>
      <c r="E8" s="38">
        <f>'Current Profile'!F9</f>
        <v/>
      </c>
      <c r="F8" s="38">
        <f>'Target Profile'!F9</f>
        <v/>
      </c>
      <c r="G8" s="16">
        <f>IF(ISNUMBER('Target Profile'!F9)*ISNUMBER('Current Profile'!F9),'Target Profile'!F9-'Current Profile'!F9,"")</f>
        <v/>
      </c>
      <c r="H8" s="16">
        <f>IF(G8="","",IF(G8&gt;=3,"🔴 Critical",IF(G8=2,"🟠 High",IF(G8=1,"🟡 Medium","✅ None"))))</f>
        <v/>
      </c>
      <c r="I8" s="17" t="inlineStr"/>
    </row>
    <row r="9" ht="18" customHeight="1">
      <c r="A9" s="12" t="inlineStr"/>
      <c r="B9" s="13" t="inlineStr">
        <is>
          <t>GOVERN</t>
        </is>
      </c>
      <c r="C9" s="15" t="inlineStr">
        <is>
          <t>GV.OC-05</t>
        </is>
      </c>
      <c r="D9" s="14" t="inlineStr">
        <is>
          <t>Cybersecurity integrated into organizational strategy</t>
        </is>
      </c>
      <c r="E9" s="38">
        <f>'Current Profile'!F10</f>
        <v/>
      </c>
      <c r="F9" s="38">
        <f>'Target Profile'!F10</f>
        <v/>
      </c>
      <c r="G9" s="16">
        <f>IF(ISNUMBER('Target Profile'!F10)*ISNUMBER('Current Profile'!F10),'Target Profile'!F10-'Current Profile'!F10,"")</f>
        <v/>
      </c>
      <c r="H9" s="16">
        <f>IF(G9="","",IF(G9&gt;=3,"🔴 Critical",IF(G9=2,"🟠 High",IF(G9=1,"🟡 Medium","✅ None"))))</f>
        <v/>
      </c>
      <c r="I9" s="17" t="inlineStr"/>
    </row>
    <row r="10" ht="18" customHeight="1">
      <c r="A10" s="12" t="inlineStr"/>
      <c r="B10" s="13" t="inlineStr">
        <is>
          <t>GOVERN</t>
        </is>
      </c>
      <c r="C10" s="15" t="inlineStr">
        <is>
          <t>GV.RM-01</t>
        </is>
      </c>
      <c r="D10" s="14" t="inlineStr">
        <is>
          <t>Risk management objectives established</t>
        </is>
      </c>
      <c r="E10" s="38">
        <f>'Current Profile'!F11</f>
        <v/>
      </c>
      <c r="F10" s="38">
        <f>'Target Profile'!F11</f>
        <v/>
      </c>
      <c r="G10" s="16">
        <f>IF(ISNUMBER('Target Profile'!F11)*ISNUMBER('Current Profile'!F11),'Target Profile'!F11-'Current Profile'!F11,"")</f>
        <v/>
      </c>
      <c r="H10" s="16">
        <f>IF(G10="","",IF(G10&gt;=3,"🔴 Critical",IF(G10=2,"🟠 High",IF(G10=1,"🟡 Medium","✅ None"))))</f>
        <v/>
      </c>
      <c r="I10" s="17" t="inlineStr"/>
    </row>
    <row r="11" ht="18" customHeight="1">
      <c r="A11" s="12" t="inlineStr"/>
      <c r="B11" s="13" t="inlineStr">
        <is>
          <t>GOVERN</t>
        </is>
      </c>
      <c r="C11" s="15" t="inlineStr">
        <is>
          <t>GV.RM-02</t>
        </is>
      </c>
      <c r="D11" s="14" t="inlineStr">
        <is>
          <t>Risk appetite and tolerance determined</t>
        </is>
      </c>
      <c r="E11" s="38">
        <f>'Current Profile'!F12</f>
        <v/>
      </c>
      <c r="F11" s="38">
        <f>'Target Profile'!F12</f>
        <v/>
      </c>
      <c r="G11" s="16">
        <f>IF(ISNUMBER('Target Profile'!F12)*ISNUMBER('Current Profile'!F12),'Target Profile'!F12-'Current Profile'!F12,"")</f>
        <v/>
      </c>
      <c r="H11" s="16">
        <f>IF(G11="","",IF(G11&gt;=3,"🔴 Critical",IF(G11=2,"🟠 High",IF(G11=1,"🟡 Medium","✅ None"))))</f>
        <v/>
      </c>
      <c r="I11" s="17" t="inlineStr"/>
    </row>
    <row r="12" ht="18" customHeight="1">
      <c r="A12" s="12" t="inlineStr"/>
      <c r="B12" s="13" t="inlineStr">
        <is>
          <t>GOVERN</t>
        </is>
      </c>
      <c r="C12" s="15" t="inlineStr">
        <is>
          <t>GV.RM-03</t>
        </is>
      </c>
      <c r="D12" s="14" t="inlineStr">
        <is>
          <t>Cybersecurity risk integrated into ERM</t>
        </is>
      </c>
      <c r="E12" s="38">
        <f>'Current Profile'!F13</f>
        <v/>
      </c>
      <c r="F12" s="38">
        <f>'Target Profile'!F13</f>
        <v/>
      </c>
      <c r="G12" s="16">
        <f>IF(ISNUMBER('Target Profile'!F13)*ISNUMBER('Current Profile'!F13),'Target Profile'!F13-'Current Profile'!F13,"")</f>
        <v/>
      </c>
      <c r="H12" s="16">
        <f>IF(G12="","",IF(G12&gt;=3,"🔴 Critical",IF(G12=2,"🟠 High",IF(G12=1,"🟡 Medium","✅ None"))))</f>
        <v/>
      </c>
      <c r="I12" s="17" t="inlineStr"/>
    </row>
    <row r="13" ht="18" customHeight="1">
      <c r="A13" s="12" t="inlineStr"/>
      <c r="B13" s="13" t="inlineStr">
        <is>
          <t>GOVERN</t>
        </is>
      </c>
      <c r="C13" s="15" t="inlineStr">
        <is>
          <t>GV.RM-04</t>
        </is>
      </c>
      <c r="D13" s="14" t="inlineStr">
        <is>
          <t>Strategic direction communicated to stakeholders</t>
        </is>
      </c>
      <c r="E13" s="38">
        <f>'Current Profile'!F14</f>
        <v/>
      </c>
      <c r="F13" s="38">
        <f>'Target Profile'!F14</f>
        <v/>
      </c>
      <c r="G13" s="16">
        <f>IF(ISNUMBER('Target Profile'!F14)*ISNUMBER('Current Profile'!F14),'Target Profile'!F14-'Current Profile'!F14,"")</f>
        <v/>
      </c>
      <c r="H13" s="16">
        <f>IF(G13="","",IF(G13&gt;=3,"🔴 Critical",IF(G13=2,"🟠 High",IF(G13=1,"🟡 Medium","✅ None"))))</f>
        <v/>
      </c>
      <c r="I13" s="17" t="inlineStr"/>
    </row>
    <row r="14" ht="18" customHeight="1">
      <c r="A14" s="12" t="inlineStr"/>
      <c r="B14" s="13" t="inlineStr">
        <is>
          <t>GOVERN</t>
        </is>
      </c>
      <c r="C14" s="15" t="inlineStr">
        <is>
          <t>GV.RM-05</t>
        </is>
      </c>
      <c r="D14" s="14" t="inlineStr">
        <is>
          <t>Threats and vulnerabilities fed into risk management</t>
        </is>
      </c>
      <c r="E14" s="38">
        <f>'Current Profile'!F15</f>
        <v/>
      </c>
      <c r="F14" s="38">
        <f>'Target Profile'!F15</f>
        <v/>
      </c>
      <c r="G14" s="16">
        <f>IF(ISNUMBER('Target Profile'!F15)*ISNUMBER('Current Profile'!F15),'Target Profile'!F15-'Current Profile'!F15,"")</f>
        <v/>
      </c>
      <c r="H14" s="16">
        <f>IF(G14="","",IF(G14&gt;=3,"🔴 Critical",IF(G14=2,"🟠 High",IF(G14=1,"🟡 Medium","✅ None"))))</f>
        <v/>
      </c>
      <c r="I14" s="17" t="inlineStr"/>
    </row>
    <row r="15" ht="18" customHeight="1">
      <c r="A15" s="12" t="inlineStr"/>
      <c r="B15" s="13" t="inlineStr">
        <is>
          <t>GOVERN</t>
        </is>
      </c>
      <c r="C15" s="15" t="inlineStr">
        <is>
          <t>GV.RM-06</t>
        </is>
      </c>
      <c r="D15" s="14" t="inlineStr">
        <is>
          <t>Policies establish risk oversight responsibilities</t>
        </is>
      </c>
      <c r="E15" s="38">
        <f>'Current Profile'!F16</f>
        <v/>
      </c>
      <c r="F15" s="38">
        <f>'Target Profile'!F16</f>
        <v/>
      </c>
      <c r="G15" s="16">
        <f>IF(ISNUMBER('Target Profile'!F16)*ISNUMBER('Current Profile'!F16),'Target Profile'!F16-'Current Profile'!F16,"")</f>
        <v/>
      </c>
      <c r="H15" s="16">
        <f>IF(G15="","",IF(G15&gt;=3,"🔴 Critical",IF(G15=2,"🟠 High",IF(G15=1,"🟡 Medium","✅ None"))))</f>
        <v/>
      </c>
      <c r="I15" s="17" t="inlineStr"/>
    </row>
    <row r="16" ht="18" customHeight="1">
      <c r="A16" s="12" t="inlineStr"/>
      <c r="B16" s="13" t="inlineStr">
        <is>
          <t>GOVERN</t>
        </is>
      </c>
      <c r="C16" s="15" t="inlineStr">
        <is>
          <t>GV.RM-07</t>
        </is>
      </c>
      <c r="D16" s="14" t="inlineStr">
        <is>
          <t>Strategic opportunities considered in risk decisions</t>
        </is>
      </c>
      <c r="E16" s="38">
        <f>'Current Profile'!F17</f>
        <v/>
      </c>
      <c r="F16" s="38">
        <f>'Target Profile'!F17</f>
        <v/>
      </c>
      <c r="G16" s="16">
        <f>IF(ISNUMBER('Target Profile'!F17)*ISNUMBER('Current Profile'!F17),'Target Profile'!F17-'Current Profile'!F17,"")</f>
        <v/>
      </c>
      <c r="H16" s="16">
        <f>IF(G16="","",IF(G16&gt;=3,"🔴 Critical",IF(G16=2,"🟠 High",IF(G16=1,"🟡 Medium","✅ None"))))</f>
        <v/>
      </c>
      <c r="I16" s="17" t="inlineStr"/>
    </row>
    <row r="17" ht="18" customHeight="1">
      <c r="A17" s="12" t="inlineStr"/>
      <c r="B17" s="13" t="inlineStr">
        <is>
          <t>GOVERN</t>
        </is>
      </c>
      <c r="C17" s="15" t="inlineStr">
        <is>
          <t>GV.RR-01</t>
        </is>
      </c>
      <c r="D17" s="14" t="inlineStr">
        <is>
          <t>Leadership accountable for cybersecurity risk</t>
        </is>
      </c>
      <c r="E17" s="38">
        <f>'Current Profile'!F18</f>
        <v/>
      </c>
      <c r="F17" s="38">
        <f>'Target Profile'!F18</f>
        <v/>
      </c>
      <c r="G17" s="16">
        <f>IF(ISNUMBER('Target Profile'!F18)*ISNUMBER('Current Profile'!F18),'Target Profile'!F18-'Current Profile'!F18,"")</f>
        <v/>
      </c>
      <c r="H17" s="16">
        <f>IF(G17="","",IF(G17&gt;=3,"🔴 Critical",IF(G17=2,"🟠 High",IF(G17=1,"🟡 Medium","✅ None"))))</f>
        <v/>
      </c>
      <c r="I17" s="17" t="inlineStr"/>
    </row>
    <row r="18" ht="18" customHeight="1">
      <c r="A18" s="12" t="inlineStr"/>
      <c r="B18" s="13" t="inlineStr">
        <is>
          <t>GOVERN</t>
        </is>
      </c>
      <c r="C18" s="15" t="inlineStr">
        <is>
          <t>GV.RR-02</t>
        </is>
      </c>
      <c r="D18" s="14" t="inlineStr">
        <is>
          <t>Roles and responsibilities assigned</t>
        </is>
      </c>
      <c r="E18" s="38">
        <f>'Current Profile'!F19</f>
        <v/>
      </c>
      <c r="F18" s="38">
        <f>'Target Profile'!F19</f>
        <v/>
      </c>
      <c r="G18" s="16">
        <f>IF(ISNUMBER('Target Profile'!F19)*ISNUMBER('Current Profile'!F19),'Target Profile'!F19-'Current Profile'!F19,"")</f>
        <v/>
      </c>
      <c r="H18" s="16">
        <f>IF(G18="","",IF(G18&gt;=3,"🔴 Critical",IF(G18=2,"🟠 High",IF(G18=1,"🟡 Medium","✅ None"))))</f>
        <v/>
      </c>
      <c r="I18" s="17" t="inlineStr"/>
    </row>
    <row r="19" ht="18" customHeight="1">
      <c r="A19" s="12" t="inlineStr"/>
      <c r="B19" s="13" t="inlineStr">
        <is>
          <t>GOVERN</t>
        </is>
      </c>
      <c r="C19" s="15" t="inlineStr">
        <is>
          <t>GV.RR-03</t>
        </is>
      </c>
      <c r="D19" s="14" t="inlineStr">
        <is>
          <t>Adequate resources allocated</t>
        </is>
      </c>
      <c r="E19" s="38">
        <f>'Current Profile'!F20</f>
        <v/>
      </c>
      <c r="F19" s="38">
        <f>'Target Profile'!F20</f>
        <v/>
      </c>
      <c r="G19" s="16">
        <f>IF(ISNUMBER('Target Profile'!F20)*ISNUMBER('Current Profile'!F20),'Target Profile'!F20-'Current Profile'!F20,"")</f>
        <v/>
      </c>
      <c r="H19" s="16">
        <f>IF(G19="","",IF(G19&gt;=3,"🔴 Critical",IF(G19=2,"🟠 High",IF(G19=1,"🟡 Medium","✅ None"))))</f>
        <v/>
      </c>
      <c r="I19" s="17" t="inlineStr"/>
    </row>
    <row r="20" ht="18" customHeight="1">
      <c r="A20" s="12" t="inlineStr"/>
      <c r="B20" s="13" t="inlineStr">
        <is>
          <t>GOVERN</t>
        </is>
      </c>
      <c r="C20" s="15" t="inlineStr">
        <is>
          <t>GV.RR-04</t>
        </is>
      </c>
      <c r="D20" s="14" t="inlineStr">
        <is>
          <t>Cybersecurity communicated across organization</t>
        </is>
      </c>
      <c r="E20" s="38">
        <f>'Current Profile'!F21</f>
        <v/>
      </c>
      <c r="F20" s="38">
        <f>'Target Profile'!F21</f>
        <v/>
      </c>
      <c r="G20" s="16">
        <f>IF(ISNUMBER('Target Profile'!F21)*ISNUMBER('Current Profile'!F21),'Target Profile'!F21-'Current Profile'!F21,"")</f>
        <v/>
      </c>
      <c r="H20" s="16">
        <f>IF(G20="","",IF(G20&gt;=3,"🔴 Critical",IF(G20=2,"🟠 High",IF(G20=1,"🟡 Medium","✅ None"))))</f>
        <v/>
      </c>
      <c r="I20" s="17" t="inlineStr"/>
    </row>
    <row r="21" ht="18" customHeight="1">
      <c r="A21" s="12" t="inlineStr"/>
      <c r="B21" s="13" t="inlineStr">
        <is>
          <t>GOVERN</t>
        </is>
      </c>
      <c r="C21" s="15" t="inlineStr">
        <is>
          <t>GV.PO-01</t>
        </is>
      </c>
      <c r="D21" s="14" t="inlineStr">
        <is>
          <t>Cybersecurity policy established and enforced</t>
        </is>
      </c>
      <c r="E21" s="38">
        <f>'Current Profile'!F22</f>
        <v/>
      </c>
      <c r="F21" s="38">
        <f>'Target Profile'!F22</f>
        <v/>
      </c>
      <c r="G21" s="16">
        <f>IF(ISNUMBER('Target Profile'!F22)*ISNUMBER('Current Profile'!F22),'Target Profile'!F22-'Current Profile'!F22,"")</f>
        <v/>
      </c>
      <c r="H21" s="16">
        <f>IF(G21="","",IF(G21&gt;=3,"🔴 Critical",IF(G21=2,"🟠 High",IF(G21=1,"🟡 Medium","✅ None"))))</f>
        <v/>
      </c>
      <c r="I21" s="17" t="inlineStr"/>
    </row>
    <row r="22" ht="18" customHeight="1">
      <c r="A22" s="12" t="inlineStr"/>
      <c r="B22" s="13" t="inlineStr">
        <is>
          <t>GOVERN</t>
        </is>
      </c>
      <c r="C22" s="15" t="inlineStr">
        <is>
          <t>GV.PO-02</t>
        </is>
      </c>
      <c r="D22" s="14" t="inlineStr">
        <is>
          <t>Policy reviewed and updated</t>
        </is>
      </c>
      <c r="E22" s="38">
        <f>'Current Profile'!F23</f>
        <v/>
      </c>
      <c r="F22" s="38">
        <f>'Target Profile'!F23</f>
        <v/>
      </c>
      <c r="G22" s="16">
        <f>IF(ISNUMBER('Target Profile'!F23)*ISNUMBER('Current Profile'!F23),'Target Profile'!F23-'Current Profile'!F23,"")</f>
        <v/>
      </c>
      <c r="H22" s="16">
        <f>IF(G22="","",IF(G22&gt;=3,"🔴 Critical",IF(G22=2,"🟠 High",IF(G22=1,"🟡 Medium","✅ None"))))</f>
        <v/>
      </c>
      <c r="I22" s="17" t="inlineStr"/>
    </row>
    <row r="23" ht="18" customHeight="1">
      <c r="A23" s="12" t="inlineStr"/>
      <c r="B23" s="13" t="inlineStr">
        <is>
          <t>GOVERN</t>
        </is>
      </c>
      <c r="C23" s="15" t="inlineStr">
        <is>
          <t>GV.OV-01</t>
        </is>
      </c>
      <c r="D23" s="14" t="inlineStr">
        <is>
          <t>Cybersecurity review outcomes inform risk management</t>
        </is>
      </c>
      <c r="E23" s="38">
        <f>'Current Profile'!F24</f>
        <v/>
      </c>
      <c r="F23" s="38">
        <f>'Target Profile'!F24</f>
        <v/>
      </c>
      <c r="G23" s="16">
        <f>IF(ISNUMBER('Target Profile'!F24)*ISNUMBER('Current Profile'!F24),'Target Profile'!F24-'Current Profile'!F24,"")</f>
        <v/>
      </c>
      <c r="H23" s="16">
        <f>IF(G23="","",IF(G23&gt;=3,"🔴 Critical",IF(G23=2,"🟠 High",IF(G23=1,"🟡 Medium","✅ None"))))</f>
        <v/>
      </c>
      <c r="I23" s="17" t="inlineStr"/>
    </row>
    <row r="24" ht="18" customHeight="1">
      <c r="A24" s="12" t="inlineStr"/>
      <c r="B24" s="13" t="inlineStr">
        <is>
          <t>GOVERN</t>
        </is>
      </c>
      <c r="C24" s="15" t="inlineStr">
        <is>
          <t>GV.OV-02</t>
        </is>
      </c>
      <c r="D24" s="14" t="inlineStr">
        <is>
          <t>Cybersecurity strategy reviewed and adjusted</t>
        </is>
      </c>
      <c r="E24" s="38">
        <f>'Current Profile'!F25</f>
        <v/>
      </c>
      <c r="F24" s="38">
        <f>'Target Profile'!F25</f>
        <v/>
      </c>
      <c r="G24" s="16">
        <f>IF(ISNUMBER('Target Profile'!F25)*ISNUMBER('Current Profile'!F25),'Target Profile'!F25-'Current Profile'!F25,"")</f>
        <v/>
      </c>
      <c r="H24" s="16">
        <f>IF(G24="","",IF(G24&gt;=3,"🔴 Critical",IF(G24=2,"🟠 High",IF(G24=1,"🟡 Medium","✅ None"))))</f>
        <v/>
      </c>
      <c r="I24" s="17" t="inlineStr"/>
    </row>
    <row r="25" ht="18" customHeight="1">
      <c r="A25" s="12" t="inlineStr"/>
      <c r="B25" s="13" t="inlineStr">
        <is>
          <t>GOVERN</t>
        </is>
      </c>
      <c r="C25" s="15" t="inlineStr">
        <is>
          <t>GV.OV-03</t>
        </is>
      </c>
      <c r="D25" s="14" t="inlineStr">
        <is>
          <t>Organizational results communicated to stakeholders</t>
        </is>
      </c>
      <c r="E25" s="38">
        <f>'Current Profile'!F26</f>
        <v/>
      </c>
      <c r="F25" s="38">
        <f>'Target Profile'!F26</f>
        <v/>
      </c>
      <c r="G25" s="16">
        <f>IF(ISNUMBER('Target Profile'!F26)*ISNUMBER('Current Profile'!F26),'Target Profile'!F26-'Current Profile'!F26,"")</f>
        <v/>
      </c>
      <c r="H25" s="16">
        <f>IF(G25="","",IF(G25&gt;=3,"🔴 Critical",IF(G25=2,"🟠 High",IF(G25=1,"🟡 Medium","✅ None"))))</f>
        <v/>
      </c>
      <c r="I25" s="17" t="inlineStr"/>
    </row>
    <row r="26" ht="18" customHeight="1">
      <c r="A26" s="12" t="inlineStr"/>
      <c r="B26" s="13" t="inlineStr">
        <is>
          <t>GOVERN</t>
        </is>
      </c>
      <c r="C26" s="15" t="inlineStr">
        <is>
          <t>GV.SC-01</t>
        </is>
      </c>
      <c r="D26" s="14" t="inlineStr">
        <is>
          <t>Supply chain risk management program established</t>
        </is>
      </c>
      <c r="E26" s="38">
        <f>'Current Profile'!F27</f>
        <v/>
      </c>
      <c r="F26" s="38">
        <f>'Target Profile'!F27</f>
        <v/>
      </c>
      <c r="G26" s="16">
        <f>IF(ISNUMBER('Target Profile'!F27)*ISNUMBER('Current Profile'!F27),'Target Profile'!F27-'Current Profile'!F27,"")</f>
        <v/>
      </c>
      <c r="H26" s="16">
        <f>IF(G26="","",IF(G26&gt;=3,"🔴 Critical",IF(G26=2,"🟠 High",IF(G26=1,"🟡 Medium","✅ None"))))</f>
        <v/>
      </c>
      <c r="I26" s="17" t="inlineStr"/>
    </row>
    <row r="27" ht="18" customHeight="1">
      <c r="A27" s="12" t="inlineStr"/>
      <c r="B27" s="13" t="inlineStr">
        <is>
          <t>GOVERN</t>
        </is>
      </c>
      <c r="C27" s="15" t="inlineStr">
        <is>
          <t>GV.SC-02</t>
        </is>
      </c>
      <c r="D27" s="14" t="inlineStr">
        <is>
          <t>Suppliers identified, prioritized, and assessed</t>
        </is>
      </c>
      <c r="E27" s="38">
        <f>'Current Profile'!F28</f>
        <v/>
      </c>
      <c r="F27" s="38">
        <f>'Target Profile'!F28</f>
        <v/>
      </c>
      <c r="G27" s="16">
        <f>IF(ISNUMBER('Target Profile'!F28)*ISNUMBER('Current Profile'!F28),'Target Profile'!F28-'Current Profile'!F28,"")</f>
        <v/>
      </c>
      <c r="H27" s="16">
        <f>IF(G27="","",IF(G27&gt;=3,"🔴 Critical",IF(G27=2,"🟠 High",IF(G27=1,"🟡 Medium","✅ None"))))</f>
        <v/>
      </c>
      <c r="I27" s="17" t="inlineStr"/>
    </row>
    <row r="28" ht="18" customHeight="1">
      <c r="A28" s="12" t="inlineStr"/>
      <c r="B28" s="13" t="inlineStr">
        <is>
          <t>GOVERN</t>
        </is>
      </c>
      <c r="C28" s="15" t="inlineStr">
        <is>
          <t>GV.SC-03</t>
        </is>
      </c>
      <c r="D28" s="14" t="inlineStr">
        <is>
          <t>Contracts require cybersecurity requirements</t>
        </is>
      </c>
      <c r="E28" s="38">
        <f>'Current Profile'!F29</f>
        <v/>
      </c>
      <c r="F28" s="38">
        <f>'Target Profile'!F29</f>
        <v/>
      </c>
      <c r="G28" s="16">
        <f>IF(ISNUMBER('Target Profile'!F29)*ISNUMBER('Current Profile'!F29),'Target Profile'!F29-'Current Profile'!F29,"")</f>
        <v/>
      </c>
      <c r="H28" s="16">
        <f>IF(G28="","",IF(G28&gt;=3,"🔴 Critical",IF(G28=2,"🟠 High",IF(G28=1,"🟡 Medium","✅ None"))))</f>
        <v/>
      </c>
      <c r="I28" s="17" t="inlineStr"/>
    </row>
    <row r="29" ht="18" customHeight="1">
      <c r="A29" s="12" t="inlineStr"/>
      <c r="B29" s="13" t="inlineStr">
        <is>
          <t>GOVERN</t>
        </is>
      </c>
      <c r="C29" s="15" t="inlineStr">
        <is>
          <t>GV.SC-04</t>
        </is>
      </c>
      <c r="D29" s="14" t="inlineStr">
        <is>
          <t>Suppliers routinely assessed</t>
        </is>
      </c>
      <c r="E29" s="38">
        <f>'Current Profile'!F30</f>
        <v/>
      </c>
      <c r="F29" s="38">
        <f>'Target Profile'!F30</f>
        <v/>
      </c>
      <c r="G29" s="16">
        <f>IF(ISNUMBER('Target Profile'!F30)*ISNUMBER('Current Profile'!F30),'Target Profile'!F30-'Current Profile'!F30,"")</f>
        <v/>
      </c>
      <c r="H29" s="16">
        <f>IF(G29="","",IF(G29&gt;=3,"🔴 Critical",IF(G29=2,"🟠 High",IF(G29=1,"🟡 Medium","✅ None"))))</f>
        <v/>
      </c>
      <c r="I29" s="17" t="inlineStr"/>
    </row>
    <row r="30" ht="18" customHeight="1">
      <c r="A30" s="12" t="inlineStr"/>
      <c r="B30" s="13" t="inlineStr">
        <is>
          <t>GOVERN</t>
        </is>
      </c>
      <c r="C30" s="15" t="inlineStr">
        <is>
          <t>GV.SC-05</t>
        </is>
      </c>
      <c r="D30" s="14" t="inlineStr">
        <is>
          <t>Response plans for supply chain incidents</t>
        </is>
      </c>
      <c r="E30" s="38">
        <f>'Current Profile'!F31</f>
        <v/>
      </c>
      <c r="F30" s="38">
        <f>'Target Profile'!F31</f>
        <v/>
      </c>
      <c r="G30" s="16">
        <f>IF(ISNUMBER('Target Profile'!F31)*ISNUMBER('Current Profile'!F31),'Target Profile'!F31-'Current Profile'!F31,"")</f>
        <v/>
      </c>
      <c r="H30" s="16">
        <f>IF(G30="","",IF(G30&gt;=3,"🔴 Critical",IF(G30=2,"🟠 High",IF(G30=1,"🟡 Medium","✅ None"))))</f>
        <v/>
      </c>
      <c r="I30" s="17" t="inlineStr"/>
    </row>
    <row r="31" ht="18" customHeight="1">
      <c r="A31" s="12" t="inlineStr"/>
      <c r="B31" s="13" t="inlineStr">
        <is>
          <t>GOVERN</t>
        </is>
      </c>
      <c r="C31" s="15" t="inlineStr">
        <is>
          <t>GV.SC-06</t>
        </is>
      </c>
      <c r="D31" s="14" t="inlineStr">
        <is>
          <t>Software integrity verified (SBOM)</t>
        </is>
      </c>
      <c r="E31" s="38">
        <f>'Current Profile'!F32</f>
        <v/>
      </c>
      <c r="F31" s="38">
        <f>'Target Profile'!F32</f>
        <v/>
      </c>
      <c r="G31" s="16">
        <f>IF(ISNUMBER('Target Profile'!F32)*ISNUMBER('Current Profile'!F32),'Target Profile'!F32-'Current Profile'!F32,"")</f>
        <v/>
      </c>
      <c r="H31" s="16">
        <f>IF(G31="","",IF(G31&gt;=3,"🔴 Critical",IF(G31=2,"🟠 High",IF(G31=1,"🟡 Medium","✅ None"))))</f>
        <v/>
      </c>
      <c r="I31" s="17" t="inlineStr"/>
    </row>
    <row r="32" ht="18" customHeight="1">
      <c r="A32" s="12" t="inlineStr"/>
      <c r="B32" s="13" t="inlineStr">
        <is>
          <t>GOVERN</t>
        </is>
      </c>
      <c r="C32" s="15" t="inlineStr">
        <is>
          <t>GV.SC-07</t>
        </is>
      </c>
      <c r="D32" s="14" t="inlineStr">
        <is>
          <t>Risks of acquired components understood</t>
        </is>
      </c>
      <c r="E32" s="38">
        <f>'Current Profile'!F33</f>
        <v/>
      </c>
      <c r="F32" s="38">
        <f>'Target Profile'!F33</f>
        <v/>
      </c>
      <c r="G32" s="16">
        <f>IF(ISNUMBER('Target Profile'!F33)*ISNUMBER('Current Profile'!F33),'Target Profile'!F33-'Current Profile'!F33,"")</f>
        <v/>
      </c>
      <c r="H32" s="16">
        <f>IF(G32="","",IF(G32&gt;=3,"🔴 Critical",IF(G32=2,"🟠 High",IF(G32=1,"🟡 Medium","✅ None"))))</f>
        <v/>
      </c>
      <c r="I32" s="17" t="inlineStr"/>
    </row>
    <row r="33" ht="18" customHeight="1">
      <c r="A33" s="12" t="inlineStr"/>
      <c r="B33" s="13" t="inlineStr">
        <is>
          <t>GOVERN</t>
        </is>
      </c>
      <c r="C33" s="15" t="inlineStr">
        <is>
          <t>GV.SC-08</t>
        </is>
      </c>
      <c r="D33" s="14" t="inlineStr">
        <is>
          <t>Risks of managed services understood</t>
        </is>
      </c>
      <c r="E33" s="38">
        <f>'Current Profile'!F34</f>
        <v/>
      </c>
      <c r="F33" s="38">
        <f>'Target Profile'!F34</f>
        <v/>
      </c>
      <c r="G33" s="16">
        <f>IF(ISNUMBER('Target Profile'!F34)*ISNUMBER('Current Profile'!F34),'Target Profile'!F34-'Current Profile'!F34,"")</f>
        <v/>
      </c>
      <c r="H33" s="16">
        <f>IF(G33="","",IF(G33&gt;=3,"🔴 Critical",IF(G33=2,"🟠 High",IF(G33=1,"🟡 Medium","✅ None"))))</f>
        <v/>
      </c>
      <c r="I33" s="17" t="inlineStr"/>
    </row>
    <row r="34" ht="18" customHeight="1">
      <c r="A34" s="12" t="inlineStr"/>
      <c r="B34" s="13" t="inlineStr">
        <is>
          <t>GOVERN</t>
        </is>
      </c>
      <c r="C34" s="15" t="inlineStr">
        <is>
          <t>GV.SC-09</t>
        </is>
      </c>
      <c r="D34" s="14" t="inlineStr">
        <is>
          <t>Security requirements in acquisition contracts</t>
        </is>
      </c>
      <c r="E34" s="38">
        <f>'Current Profile'!F35</f>
        <v/>
      </c>
      <c r="F34" s="38">
        <f>'Target Profile'!F35</f>
        <v/>
      </c>
      <c r="G34" s="16">
        <f>IF(ISNUMBER('Target Profile'!F35)*ISNUMBER('Current Profile'!F35),'Target Profile'!F35-'Current Profile'!F35,"")</f>
        <v/>
      </c>
      <c r="H34" s="16">
        <f>IF(G34="","",IF(G34&gt;=3,"🔴 Critical",IF(G34=2,"🟠 High",IF(G34=1,"🟡 Medium","✅ None"))))</f>
        <v/>
      </c>
      <c r="I34" s="17" t="inlineStr"/>
    </row>
    <row r="35" ht="18" customHeight="1">
      <c r="A35" s="12" t="inlineStr"/>
      <c r="B35" s="13" t="inlineStr">
        <is>
          <t>GOVERN</t>
        </is>
      </c>
      <c r="C35" s="15" t="inlineStr">
        <is>
          <t>GV.SC-10</t>
        </is>
      </c>
      <c r="D35" s="14" t="inlineStr">
        <is>
          <t>Supply chain effectiveness reviewed</t>
        </is>
      </c>
      <c r="E35" s="38">
        <f>'Current Profile'!F36</f>
        <v/>
      </c>
      <c r="F35" s="38">
        <f>'Target Profile'!F36</f>
        <v/>
      </c>
      <c r="G35" s="16">
        <f>IF(ISNUMBER('Target Profile'!F36)*ISNUMBER('Current Profile'!F36),'Target Profile'!F36-'Current Profile'!F36,"")</f>
        <v/>
      </c>
      <c r="H35" s="16">
        <f>IF(G35="","",IF(G35&gt;=3,"🔴 Critical",IF(G35=2,"🟠 High",IF(G35=1,"🟡 Medium","✅ None"))))</f>
        <v/>
      </c>
      <c r="I35" s="17" t="inlineStr"/>
    </row>
    <row r="36" ht="6" customHeight="1"/>
    <row r="37" ht="22" customHeight="1">
      <c r="B37" s="19" t="inlineStr">
        <is>
          <t>▶  IDENTIFY (ID)</t>
        </is>
      </c>
    </row>
    <row r="38" ht="18" customHeight="1">
      <c r="A38" s="12" t="inlineStr"/>
      <c r="B38" s="20" t="inlineStr">
        <is>
          <t>IDENTIFY</t>
        </is>
      </c>
      <c r="C38" s="15" t="inlineStr">
        <is>
          <t>ID.AM-01</t>
        </is>
      </c>
      <c r="D38" s="14" t="inlineStr">
        <is>
          <t>Hardware asset inventory maintained</t>
        </is>
      </c>
      <c r="E38" s="38">
        <f>'Current Profile'!F39</f>
        <v/>
      </c>
      <c r="F38" s="38">
        <f>'Target Profile'!F39</f>
        <v/>
      </c>
      <c r="G38" s="16">
        <f>IF(ISNUMBER('Target Profile'!F39)*ISNUMBER('Current Profile'!F39),'Target Profile'!F39-'Current Profile'!F39,"")</f>
        <v/>
      </c>
      <c r="H38" s="16">
        <f>IF(G38="","",IF(G38&gt;=3,"🔴 Critical",IF(G38=2,"🟠 High",IF(G38=1,"🟡 Medium","✅ None"))))</f>
        <v/>
      </c>
      <c r="I38" s="17" t="inlineStr"/>
    </row>
    <row r="39" ht="18" customHeight="1">
      <c r="A39" s="12" t="inlineStr"/>
      <c r="B39" s="20" t="inlineStr">
        <is>
          <t>IDENTIFY</t>
        </is>
      </c>
      <c r="C39" s="15" t="inlineStr">
        <is>
          <t>ID.AM-02</t>
        </is>
      </c>
      <c r="D39" s="14" t="inlineStr">
        <is>
          <t>Software asset inventory maintained</t>
        </is>
      </c>
      <c r="E39" s="38">
        <f>'Current Profile'!F40</f>
        <v/>
      </c>
      <c r="F39" s="38">
        <f>'Target Profile'!F40</f>
        <v/>
      </c>
      <c r="G39" s="16">
        <f>IF(ISNUMBER('Target Profile'!F40)*ISNUMBER('Current Profile'!F40),'Target Profile'!F40-'Current Profile'!F40,"")</f>
        <v/>
      </c>
      <c r="H39" s="16">
        <f>IF(G39="","",IF(G39&gt;=3,"🔴 Critical",IF(G39=2,"🟠 High",IF(G39=1,"🟡 Medium","✅ None"))))</f>
        <v/>
      </c>
      <c r="I39" s="17" t="inlineStr"/>
    </row>
    <row r="40" ht="18" customHeight="1">
      <c r="A40" s="12" t="inlineStr"/>
      <c r="B40" s="20" t="inlineStr">
        <is>
          <t>IDENTIFY</t>
        </is>
      </c>
      <c r="C40" s="15" t="inlineStr">
        <is>
          <t>ID.AM-03</t>
        </is>
      </c>
      <c r="D40" s="14" t="inlineStr">
        <is>
          <t>Network and data flow inventory maintained</t>
        </is>
      </c>
      <c r="E40" s="38">
        <f>'Current Profile'!F41</f>
        <v/>
      </c>
      <c r="F40" s="38">
        <f>'Target Profile'!F41</f>
        <v/>
      </c>
      <c r="G40" s="16">
        <f>IF(ISNUMBER('Target Profile'!F41)*ISNUMBER('Current Profile'!F41),'Target Profile'!F41-'Current Profile'!F41,"")</f>
        <v/>
      </c>
      <c r="H40" s="16">
        <f>IF(G40="","",IF(G40&gt;=3,"🔴 Critical",IF(G40=2,"🟠 High",IF(G40=1,"🟡 Medium","✅ None"))))</f>
        <v/>
      </c>
      <c r="I40" s="17" t="inlineStr"/>
    </row>
    <row r="41" ht="18" customHeight="1">
      <c r="A41" s="12" t="inlineStr"/>
      <c r="B41" s="20" t="inlineStr">
        <is>
          <t>IDENTIFY</t>
        </is>
      </c>
      <c r="C41" s="15" t="inlineStr">
        <is>
          <t>ID.AM-04</t>
        </is>
      </c>
      <c r="D41" s="14" t="inlineStr">
        <is>
          <t>Service inventory maintained</t>
        </is>
      </c>
      <c r="E41" s="38">
        <f>'Current Profile'!F42</f>
        <v/>
      </c>
      <c r="F41" s="38">
        <f>'Target Profile'!F42</f>
        <v/>
      </c>
      <c r="G41" s="16">
        <f>IF(ISNUMBER('Target Profile'!F42)*ISNUMBER('Current Profile'!F42),'Target Profile'!F42-'Current Profile'!F42,"")</f>
        <v/>
      </c>
      <c r="H41" s="16">
        <f>IF(G41="","",IF(G41&gt;=3,"🔴 Critical",IF(G41=2,"🟠 High",IF(G41=1,"🟡 Medium","✅ None"))))</f>
        <v/>
      </c>
      <c r="I41" s="17" t="inlineStr"/>
    </row>
    <row r="42" ht="18" customHeight="1">
      <c r="A42" s="12" t="inlineStr"/>
      <c r="B42" s="20" t="inlineStr">
        <is>
          <t>IDENTIFY</t>
        </is>
      </c>
      <c r="C42" s="15" t="inlineStr">
        <is>
          <t>ID.AM-05</t>
        </is>
      </c>
      <c r="D42" s="14" t="inlineStr">
        <is>
          <t>Assets prioritized by criticality</t>
        </is>
      </c>
      <c r="E42" s="38">
        <f>'Current Profile'!F43</f>
        <v/>
      </c>
      <c r="F42" s="38">
        <f>'Target Profile'!F43</f>
        <v/>
      </c>
      <c r="G42" s="16">
        <f>IF(ISNUMBER('Target Profile'!F43)*ISNUMBER('Current Profile'!F43),'Target Profile'!F43-'Current Profile'!F43,"")</f>
        <v/>
      </c>
      <c r="H42" s="16">
        <f>IF(G42="","",IF(G42&gt;=3,"🔴 Critical",IF(G42=2,"🟠 High",IF(G42=1,"🟡 Medium","✅ None"))))</f>
        <v/>
      </c>
      <c r="I42" s="17" t="inlineStr"/>
    </row>
    <row r="43" ht="18" customHeight="1">
      <c r="A43" s="12" t="inlineStr"/>
      <c r="B43" s="20" t="inlineStr">
        <is>
          <t>IDENTIFY</t>
        </is>
      </c>
      <c r="C43" s="15" t="inlineStr">
        <is>
          <t>ID.AM-07</t>
        </is>
      </c>
      <c r="D43" s="14" t="inlineStr">
        <is>
          <t>Data and data types inventoried</t>
        </is>
      </c>
      <c r="E43" s="38">
        <f>'Current Profile'!F44</f>
        <v/>
      </c>
      <c r="F43" s="38">
        <f>'Target Profile'!F44</f>
        <v/>
      </c>
      <c r="G43" s="16">
        <f>IF(ISNUMBER('Target Profile'!F44)*ISNUMBER('Current Profile'!F44),'Target Profile'!F44-'Current Profile'!F44,"")</f>
        <v/>
      </c>
      <c r="H43" s="16">
        <f>IF(G43="","",IF(G43&gt;=3,"🔴 Critical",IF(G43=2,"🟠 High",IF(G43=1,"🟡 Medium","✅ None"))))</f>
        <v/>
      </c>
      <c r="I43" s="17" t="inlineStr"/>
    </row>
    <row r="44" ht="18" customHeight="1">
      <c r="A44" s="12" t="inlineStr"/>
      <c r="B44" s="20" t="inlineStr">
        <is>
          <t>IDENTIFY</t>
        </is>
      </c>
      <c r="C44" s="15" t="inlineStr">
        <is>
          <t>ID.AM-08</t>
        </is>
      </c>
      <c r="D44" s="14" t="inlineStr">
        <is>
          <t>Assets managed through lifecycle</t>
        </is>
      </c>
      <c r="E44" s="38">
        <f>'Current Profile'!F45</f>
        <v/>
      </c>
      <c r="F44" s="38">
        <f>'Target Profile'!F45</f>
        <v/>
      </c>
      <c r="G44" s="16">
        <f>IF(ISNUMBER('Target Profile'!F45)*ISNUMBER('Current Profile'!F45),'Target Profile'!F45-'Current Profile'!F45,"")</f>
        <v/>
      </c>
      <c r="H44" s="16">
        <f>IF(G44="","",IF(G44&gt;=3,"🔴 Critical",IF(G44=2,"🟠 High",IF(G44=1,"🟡 Medium","✅ None"))))</f>
        <v/>
      </c>
      <c r="I44" s="17" t="inlineStr"/>
    </row>
    <row r="45" ht="18" customHeight="1">
      <c r="A45" s="12" t="inlineStr"/>
      <c r="B45" s="20" t="inlineStr">
        <is>
          <t>IDENTIFY</t>
        </is>
      </c>
      <c r="C45" s="15" t="inlineStr">
        <is>
          <t>ID.RA-01</t>
        </is>
      </c>
      <c r="D45" s="14" t="inlineStr">
        <is>
          <t>Vulnerabilities identified and validated</t>
        </is>
      </c>
      <c r="E45" s="38">
        <f>'Current Profile'!F46</f>
        <v/>
      </c>
      <c r="F45" s="38">
        <f>'Target Profile'!F46</f>
        <v/>
      </c>
      <c r="G45" s="16">
        <f>IF(ISNUMBER('Target Profile'!F46)*ISNUMBER('Current Profile'!F46),'Target Profile'!F46-'Current Profile'!F46,"")</f>
        <v/>
      </c>
      <c r="H45" s="16">
        <f>IF(G45="","",IF(G45&gt;=3,"🔴 Critical",IF(G45=2,"🟠 High",IF(G45=1,"🟡 Medium","✅ None"))))</f>
        <v/>
      </c>
      <c r="I45" s="17" t="inlineStr"/>
    </row>
    <row r="46" ht="18" customHeight="1">
      <c r="A46" s="12" t="inlineStr"/>
      <c r="B46" s="20" t="inlineStr">
        <is>
          <t>IDENTIFY</t>
        </is>
      </c>
      <c r="C46" s="15" t="inlineStr">
        <is>
          <t>ID.RA-02</t>
        </is>
      </c>
      <c r="D46" s="14" t="inlineStr">
        <is>
          <t>Threat intelligence received</t>
        </is>
      </c>
      <c r="E46" s="38">
        <f>'Current Profile'!F47</f>
        <v/>
      </c>
      <c r="F46" s="38">
        <f>'Target Profile'!F47</f>
        <v/>
      </c>
      <c r="G46" s="16">
        <f>IF(ISNUMBER('Target Profile'!F47)*ISNUMBER('Current Profile'!F47),'Target Profile'!F47-'Current Profile'!F47,"")</f>
        <v/>
      </c>
      <c r="H46" s="16">
        <f>IF(G46="","",IF(G46&gt;=3,"🔴 Critical",IF(G46=2,"🟠 High",IF(G46=1,"🟡 Medium","✅ None"))))</f>
        <v/>
      </c>
      <c r="I46" s="17" t="inlineStr"/>
    </row>
    <row r="47" ht="18" customHeight="1">
      <c r="A47" s="12" t="inlineStr"/>
      <c r="B47" s="20" t="inlineStr">
        <is>
          <t>IDENTIFY</t>
        </is>
      </c>
      <c r="C47" s="15" t="inlineStr">
        <is>
          <t>ID.RA-03</t>
        </is>
      </c>
      <c r="D47" s="14" t="inlineStr">
        <is>
          <t>Internal/external threats identified</t>
        </is>
      </c>
      <c r="E47" s="38">
        <f>'Current Profile'!F48</f>
        <v/>
      </c>
      <c r="F47" s="38">
        <f>'Target Profile'!F48</f>
        <v/>
      </c>
      <c r="G47" s="16">
        <f>IF(ISNUMBER('Target Profile'!F48)*ISNUMBER('Current Profile'!F48),'Target Profile'!F48-'Current Profile'!F48,"")</f>
        <v/>
      </c>
      <c r="H47" s="16">
        <f>IF(G47="","",IF(G47&gt;=3,"🔴 Critical",IF(G47=2,"🟠 High",IF(G47=1,"🟡 Medium","✅ None"))))</f>
        <v/>
      </c>
      <c r="I47" s="17" t="inlineStr"/>
    </row>
    <row r="48" ht="18" customHeight="1">
      <c r="A48" s="12" t="inlineStr"/>
      <c r="B48" s="20" t="inlineStr">
        <is>
          <t>IDENTIFY</t>
        </is>
      </c>
      <c r="C48" s="15" t="inlineStr">
        <is>
          <t>ID.RA-04</t>
        </is>
      </c>
      <c r="D48" s="14" t="inlineStr">
        <is>
          <t>Impacts and likelihoods considered</t>
        </is>
      </c>
      <c r="E48" s="38">
        <f>'Current Profile'!F49</f>
        <v/>
      </c>
      <c r="F48" s="38">
        <f>'Target Profile'!F49</f>
        <v/>
      </c>
      <c r="G48" s="16">
        <f>IF(ISNUMBER('Target Profile'!F49)*ISNUMBER('Current Profile'!F49),'Target Profile'!F49-'Current Profile'!F49,"")</f>
        <v/>
      </c>
      <c r="H48" s="16">
        <f>IF(G48="","",IF(G48&gt;=3,"🔴 Critical",IF(G48=2,"🟠 High",IF(G48=1,"🟡 Medium","✅ None"))))</f>
        <v/>
      </c>
      <c r="I48" s="17" t="inlineStr"/>
    </row>
    <row r="49" ht="18" customHeight="1">
      <c r="A49" s="12" t="inlineStr"/>
      <c r="B49" s="20" t="inlineStr">
        <is>
          <t>IDENTIFY</t>
        </is>
      </c>
      <c r="C49" s="15" t="inlineStr">
        <is>
          <t>ID.RA-05</t>
        </is>
      </c>
      <c r="D49" s="14" t="inlineStr">
        <is>
          <t>Risk understood from threats/vulnerabilities</t>
        </is>
      </c>
      <c r="E49" s="38">
        <f>'Current Profile'!F50</f>
        <v/>
      </c>
      <c r="F49" s="38">
        <f>'Target Profile'!F50</f>
        <v/>
      </c>
      <c r="G49" s="16">
        <f>IF(ISNUMBER('Target Profile'!F50)*ISNUMBER('Current Profile'!F50),'Target Profile'!F50-'Current Profile'!F50,"")</f>
        <v/>
      </c>
      <c r="H49" s="16">
        <f>IF(G49="","",IF(G49&gt;=3,"🔴 Critical",IF(G49=2,"🟠 High",IF(G49=1,"🟡 Medium","✅ None"))))</f>
        <v/>
      </c>
      <c r="I49" s="17" t="inlineStr"/>
    </row>
    <row r="50" ht="18" customHeight="1">
      <c r="A50" s="12" t="inlineStr"/>
      <c r="B50" s="20" t="inlineStr">
        <is>
          <t>IDENTIFY</t>
        </is>
      </c>
      <c r="C50" s="15" t="inlineStr">
        <is>
          <t>ID.RA-06</t>
        </is>
      </c>
      <c r="D50" s="14" t="inlineStr">
        <is>
          <t>Risk responses chosen and tracked</t>
        </is>
      </c>
      <c r="E50" s="38">
        <f>'Current Profile'!F51</f>
        <v/>
      </c>
      <c r="F50" s="38">
        <f>'Target Profile'!F51</f>
        <v/>
      </c>
      <c r="G50" s="16">
        <f>IF(ISNUMBER('Target Profile'!F51)*ISNUMBER('Current Profile'!F51),'Target Profile'!F51-'Current Profile'!F51,"")</f>
        <v/>
      </c>
      <c r="H50" s="16">
        <f>IF(G50="","",IF(G50&gt;=3,"🔴 Critical",IF(G50=2,"🟠 High",IF(G50=1,"🟡 Medium","✅ None"))))</f>
        <v/>
      </c>
      <c r="I50" s="17" t="inlineStr"/>
    </row>
    <row r="51" ht="18" customHeight="1">
      <c r="A51" s="12" t="inlineStr"/>
      <c r="B51" s="20" t="inlineStr">
        <is>
          <t>IDENTIFY</t>
        </is>
      </c>
      <c r="C51" s="15" t="inlineStr">
        <is>
          <t>ID.RA-07</t>
        </is>
      </c>
      <c r="D51" s="14" t="inlineStr">
        <is>
          <t>Changes and exceptions managed</t>
        </is>
      </c>
      <c r="E51" s="38">
        <f>'Current Profile'!F52</f>
        <v/>
      </c>
      <c r="F51" s="38">
        <f>'Target Profile'!F52</f>
        <v/>
      </c>
      <c r="G51" s="16">
        <f>IF(ISNUMBER('Target Profile'!F52)*ISNUMBER('Current Profile'!F52),'Target Profile'!F52-'Current Profile'!F52,"")</f>
        <v/>
      </c>
      <c r="H51" s="16">
        <f>IF(G51="","",IF(G51&gt;=3,"🔴 Critical",IF(G51=2,"🟠 High",IF(G51=1,"🟡 Medium","✅ None"))))</f>
        <v/>
      </c>
      <c r="I51" s="17" t="inlineStr"/>
    </row>
    <row r="52" ht="18" customHeight="1">
      <c r="A52" s="12" t="inlineStr"/>
      <c r="B52" s="20" t="inlineStr">
        <is>
          <t>IDENTIFY</t>
        </is>
      </c>
      <c r="C52" s="15" t="inlineStr">
        <is>
          <t>ID.RA-08</t>
        </is>
      </c>
      <c r="D52" s="14" t="inlineStr">
        <is>
          <t>Vulnerability disclosure processes established</t>
        </is>
      </c>
      <c r="E52" s="38">
        <f>'Current Profile'!F53</f>
        <v/>
      </c>
      <c r="F52" s="38">
        <f>'Target Profile'!F53</f>
        <v/>
      </c>
      <c r="G52" s="16">
        <f>IF(ISNUMBER('Target Profile'!F53)*ISNUMBER('Current Profile'!F53),'Target Profile'!F53-'Current Profile'!F53,"")</f>
        <v/>
      </c>
      <c r="H52" s="16">
        <f>IF(G52="","",IF(G52&gt;=3,"🔴 Critical",IF(G52=2,"🟠 High",IF(G52=1,"🟡 Medium","✅ None"))))</f>
        <v/>
      </c>
      <c r="I52" s="17" t="inlineStr"/>
    </row>
    <row r="53" ht="18" customHeight="1">
      <c r="A53" s="12" t="inlineStr"/>
      <c r="B53" s="20" t="inlineStr">
        <is>
          <t>IDENTIFY</t>
        </is>
      </c>
      <c r="C53" s="15" t="inlineStr">
        <is>
          <t>ID.RA-09</t>
        </is>
      </c>
      <c r="D53" s="14" t="inlineStr">
        <is>
          <t>Software and hardware authenticity verified</t>
        </is>
      </c>
      <c r="E53" s="38">
        <f>'Current Profile'!F54</f>
        <v/>
      </c>
      <c r="F53" s="38">
        <f>'Target Profile'!F54</f>
        <v/>
      </c>
      <c r="G53" s="16">
        <f>IF(ISNUMBER('Target Profile'!F54)*ISNUMBER('Current Profile'!F54),'Target Profile'!F54-'Current Profile'!F54,"")</f>
        <v/>
      </c>
      <c r="H53" s="16">
        <f>IF(G53="","",IF(G53&gt;=3,"🔴 Critical",IF(G53=2,"🟠 High",IF(G53=1,"🟡 Medium","✅ None"))))</f>
        <v/>
      </c>
      <c r="I53" s="17" t="inlineStr"/>
    </row>
    <row r="54" ht="18" customHeight="1">
      <c r="A54" s="12" t="inlineStr"/>
      <c r="B54" s="20" t="inlineStr">
        <is>
          <t>IDENTIFY</t>
        </is>
      </c>
      <c r="C54" s="15" t="inlineStr">
        <is>
          <t>ID.RA-10</t>
        </is>
      </c>
      <c r="D54" s="14" t="inlineStr">
        <is>
          <t>Critical suppliers assessed pre-contract</t>
        </is>
      </c>
      <c r="E54" s="38">
        <f>'Current Profile'!F55</f>
        <v/>
      </c>
      <c r="F54" s="38">
        <f>'Target Profile'!F55</f>
        <v/>
      </c>
      <c r="G54" s="16">
        <f>IF(ISNUMBER('Target Profile'!F55)*ISNUMBER('Current Profile'!F55),'Target Profile'!F55-'Current Profile'!F55,"")</f>
        <v/>
      </c>
      <c r="H54" s="16">
        <f>IF(G54="","",IF(G54&gt;=3,"🔴 Critical",IF(G54=2,"🟠 High",IF(G54=1,"🟡 Medium","✅ None"))))</f>
        <v/>
      </c>
      <c r="I54" s="17" t="inlineStr"/>
    </row>
    <row r="55" ht="18" customHeight="1">
      <c r="A55" s="12" t="inlineStr"/>
      <c r="B55" s="20" t="inlineStr">
        <is>
          <t>IDENTIFY</t>
        </is>
      </c>
      <c r="C55" s="15" t="inlineStr">
        <is>
          <t>ID.IM-01</t>
        </is>
      </c>
      <c r="D55" s="14" t="inlineStr">
        <is>
          <t>Improvements identified from evaluations</t>
        </is>
      </c>
      <c r="E55" s="38">
        <f>'Current Profile'!F56</f>
        <v/>
      </c>
      <c r="F55" s="38">
        <f>'Target Profile'!F56</f>
        <v/>
      </c>
      <c r="G55" s="16">
        <f>IF(ISNUMBER('Target Profile'!F56)*ISNUMBER('Current Profile'!F56),'Target Profile'!F56-'Current Profile'!F56,"")</f>
        <v/>
      </c>
      <c r="H55" s="16">
        <f>IF(G55="","",IF(G55&gt;=3,"🔴 Critical",IF(G55=2,"🟠 High",IF(G55=1,"🟡 Medium","✅ None"))))</f>
        <v/>
      </c>
      <c r="I55" s="17" t="inlineStr"/>
    </row>
    <row r="56" ht="18" customHeight="1">
      <c r="A56" s="12" t="inlineStr"/>
      <c r="B56" s="20" t="inlineStr">
        <is>
          <t>IDENTIFY</t>
        </is>
      </c>
      <c r="C56" s="15" t="inlineStr">
        <is>
          <t>ID.IM-02</t>
        </is>
      </c>
      <c r="D56" s="14" t="inlineStr">
        <is>
          <t>Improvements identified from security tests</t>
        </is>
      </c>
      <c r="E56" s="38">
        <f>'Current Profile'!F57</f>
        <v/>
      </c>
      <c r="F56" s="38">
        <f>'Target Profile'!F57</f>
        <v/>
      </c>
      <c r="G56" s="16">
        <f>IF(ISNUMBER('Target Profile'!F57)*ISNUMBER('Current Profile'!F57),'Target Profile'!F57-'Current Profile'!F57,"")</f>
        <v/>
      </c>
      <c r="H56" s="16">
        <f>IF(G56="","",IF(G56&gt;=3,"🔴 Critical",IF(G56=2,"🟠 High",IF(G56=1,"🟡 Medium","✅ None"))))</f>
        <v/>
      </c>
      <c r="I56" s="17" t="inlineStr"/>
    </row>
    <row r="57" ht="18" customHeight="1">
      <c r="A57" s="12" t="inlineStr"/>
      <c r="B57" s="20" t="inlineStr">
        <is>
          <t>IDENTIFY</t>
        </is>
      </c>
      <c r="C57" s="15" t="inlineStr">
        <is>
          <t>ID.IM-03</t>
        </is>
      </c>
      <c r="D57" s="14" t="inlineStr">
        <is>
          <t>Improvements from operational processes</t>
        </is>
      </c>
      <c r="E57" s="38">
        <f>'Current Profile'!F58</f>
        <v/>
      </c>
      <c r="F57" s="38">
        <f>'Target Profile'!F58</f>
        <v/>
      </c>
      <c r="G57" s="16">
        <f>IF(ISNUMBER('Target Profile'!F58)*ISNUMBER('Current Profile'!F58),'Target Profile'!F58-'Current Profile'!F58,"")</f>
        <v/>
      </c>
      <c r="H57" s="16">
        <f>IF(G57="","",IF(G57&gt;=3,"🔴 Critical",IF(G57=2,"🟠 High",IF(G57=1,"🟡 Medium","✅ None"))))</f>
        <v/>
      </c>
      <c r="I57" s="17" t="inlineStr"/>
    </row>
    <row r="58" ht="18" customHeight="1">
      <c r="A58" s="12" t="inlineStr"/>
      <c r="B58" s="20" t="inlineStr">
        <is>
          <t>IDENTIFY</t>
        </is>
      </c>
      <c r="C58" s="15" t="inlineStr">
        <is>
          <t>ID.IM-04</t>
        </is>
      </c>
      <c r="D58" s="14" t="inlineStr">
        <is>
          <t>Incident response evaluated and documented</t>
        </is>
      </c>
      <c r="E58" s="38">
        <f>'Current Profile'!F59</f>
        <v/>
      </c>
      <c r="F58" s="38">
        <f>'Target Profile'!F59</f>
        <v/>
      </c>
      <c r="G58" s="16">
        <f>IF(ISNUMBER('Target Profile'!F59)*ISNUMBER('Current Profile'!F59),'Target Profile'!F59-'Current Profile'!F59,"")</f>
        <v/>
      </c>
      <c r="H58" s="16">
        <f>IF(G58="","",IF(G58&gt;=3,"🔴 Critical",IF(G58=2,"🟠 High",IF(G58=1,"🟡 Medium","✅ None"))))</f>
        <v/>
      </c>
      <c r="I58" s="17" t="inlineStr"/>
    </row>
    <row r="59" ht="6" customHeight="1"/>
    <row r="60" ht="22" customHeight="1">
      <c r="B60" s="21" t="inlineStr">
        <is>
          <t>▶  PROTECT (PR)</t>
        </is>
      </c>
    </row>
    <row r="61" ht="18" customHeight="1">
      <c r="A61" s="12" t="inlineStr"/>
      <c r="B61" s="22" t="inlineStr">
        <is>
          <t>PROTECT</t>
        </is>
      </c>
      <c r="C61" s="24" t="inlineStr">
        <is>
          <t>PR.AA-01</t>
        </is>
      </c>
      <c r="D61" s="23" t="inlineStr">
        <is>
          <t>User, service, and hardware identities managed</t>
        </is>
      </c>
      <c r="E61" s="38">
        <f>'Current Profile'!F62</f>
        <v/>
      </c>
      <c r="F61" s="38">
        <f>'Target Profile'!F62</f>
        <v/>
      </c>
      <c r="G61" s="16">
        <f>IF(ISNUMBER('Target Profile'!F62)*ISNUMBER('Current Profile'!F62),'Target Profile'!F62-'Current Profile'!F62,"")</f>
        <v/>
      </c>
      <c r="H61" s="16">
        <f>IF(G61="","",IF(G61&gt;=3,"🔴 Critical",IF(G61=2,"🟠 High",IF(G61=1,"🟡 Medium","✅ None"))))</f>
        <v/>
      </c>
      <c r="I61" s="17" t="inlineStr"/>
    </row>
    <row r="62" ht="18" customHeight="1">
      <c r="A62" s="12" t="inlineStr"/>
      <c r="B62" s="22" t="inlineStr">
        <is>
          <t>PROTECT</t>
        </is>
      </c>
      <c r="C62" s="24" t="inlineStr">
        <is>
          <t>PR.AA-02</t>
        </is>
      </c>
      <c r="D62" s="23" t="inlineStr">
        <is>
          <t>Identities proofed and bound to credentials</t>
        </is>
      </c>
      <c r="E62" s="38">
        <f>'Current Profile'!F63</f>
        <v/>
      </c>
      <c r="F62" s="38">
        <f>'Target Profile'!F63</f>
        <v/>
      </c>
      <c r="G62" s="16">
        <f>IF(ISNUMBER('Target Profile'!F63)*ISNUMBER('Current Profile'!F63),'Target Profile'!F63-'Current Profile'!F63,"")</f>
        <v/>
      </c>
      <c r="H62" s="16">
        <f>IF(G62="","",IF(G62&gt;=3,"🔴 Critical",IF(G62=2,"🟠 High",IF(G62=1,"🟡 Medium","✅ None"))))</f>
        <v/>
      </c>
      <c r="I62" s="17" t="inlineStr"/>
    </row>
    <row r="63" ht="18" customHeight="1">
      <c r="A63" s="12" t="inlineStr"/>
      <c r="B63" s="22" t="inlineStr">
        <is>
          <t>PROTECT</t>
        </is>
      </c>
      <c r="C63" s="24" t="inlineStr">
        <is>
          <t>PR.AA-03</t>
        </is>
      </c>
      <c r="D63" s="23" t="inlineStr">
        <is>
          <t>Users and services authenticated (MFA)</t>
        </is>
      </c>
      <c r="E63" s="38">
        <f>'Current Profile'!F64</f>
        <v/>
      </c>
      <c r="F63" s="38">
        <f>'Target Profile'!F64</f>
        <v/>
      </c>
      <c r="G63" s="16">
        <f>IF(ISNUMBER('Target Profile'!F64)*ISNUMBER('Current Profile'!F64),'Target Profile'!F64-'Current Profile'!F64,"")</f>
        <v/>
      </c>
      <c r="H63" s="16">
        <f>IF(G63="","",IF(G63&gt;=3,"🔴 Critical",IF(G63=2,"🟠 High",IF(G63=1,"🟡 Medium","✅ None"))))</f>
        <v/>
      </c>
      <c r="I63" s="17" t="inlineStr"/>
    </row>
    <row r="64" ht="18" customHeight="1">
      <c r="A64" s="12" t="inlineStr"/>
      <c r="B64" s="22" t="inlineStr">
        <is>
          <t>PROTECT</t>
        </is>
      </c>
      <c r="C64" s="24" t="inlineStr">
        <is>
          <t>PR.AA-04</t>
        </is>
      </c>
      <c r="D64" s="23" t="inlineStr">
        <is>
          <t>Identity assertions protected</t>
        </is>
      </c>
      <c r="E64" s="38">
        <f>'Current Profile'!F65</f>
        <v/>
      </c>
      <c r="F64" s="38">
        <f>'Target Profile'!F65</f>
        <v/>
      </c>
      <c r="G64" s="16">
        <f>IF(ISNUMBER('Target Profile'!F65)*ISNUMBER('Current Profile'!F65),'Target Profile'!F65-'Current Profile'!F65,"")</f>
        <v/>
      </c>
      <c r="H64" s="16">
        <f>IF(G64="","",IF(G64&gt;=3,"🔴 Critical",IF(G64=2,"🟠 High",IF(G64=1,"🟡 Medium","✅ None"))))</f>
        <v/>
      </c>
      <c r="I64" s="17" t="inlineStr"/>
    </row>
    <row r="65" ht="18" customHeight="1">
      <c r="A65" s="12" t="inlineStr"/>
      <c r="B65" s="22" t="inlineStr">
        <is>
          <t>PROTECT</t>
        </is>
      </c>
      <c r="C65" s="24" t="inlineStr">
        <is>
          <t>PR.AA-05</t>
        </is>
      </c>
      <c r="D65" s="23" t="inlineStr">
        <is>
          <t>Access permissions and authorizations managed</t>
        </is>
      </c>
      <c r="E65" s="38">
        <f>'Current Profile'!F66</f>
        <v/>
      </c>
      <c r="F65" s="38">
        <f>'Target Profile'!F66</f>
        <v/>
      </c>
      <c r="G65" s="16">
        <f>IF(ISNUMBER('Target Profile'!F66)*ISNUMBER('Current Profile'!F66),'Target Profile'!F66-'Current Profile'!F66,"")</f>
        <v/>
      </c>
      <c r="H65" s="16">
        <f>IF(G65="","",IF(G65&gt;=3,"🔴 Critical",IF(G65=2,"🟠 High",IF(G65=1,"🟡 Medium","✅ None"))))</f>
        <v/>
      </c>
      <c r="I65" s="17" t="inlineStr"/>
    </row>
    <row r="66" ht="18" customHeight="1">
      <c r="A66" s="12" t="inlineStr"/>
      <c r="B66" s="22" t="inlineStr">
        <is>
          <t>PROTECT</t>
        </is>
      </c>
      <c r="C66" s="24" t="inlineStr">
        <is>
          <t>PR.AA-06</t>
        </is>
      </c>
      <c r="D66" s="23" t="inlineStr">
        <is>
          <t>Physical access controlled</t>
        </is>
      </c>
      <c r="E66" s="38">
        <f>'Current Profile'!F67</f>
        <v/>
      </c>
      <c r="F66" s="38">
        <f>'Target Profile'!F67</f>
        <v/>
      </c>
      <c r="G66" s="16">
        <f>IF(ISNUMBER('Target Profile'!F67)*ISNUMBER('Current Profile'!F67),'Target Profile'!F67-'Current Profile'!F67,"")</f>
        <v/>
      </c>
      <c r="H66" s="16">
        <f>IF(G66="","",IF(G66&gt;=3,"🔴 Critical",IF(G66=2,"🟠 High",IF(G66=1,"🟡 Medium","✅ None"))))</f>
        <v/>
      </c>
      <c r="I66" s="17" t="inlineStr"/>
    </row>
    <row r="67" ht="18" customHeight="1">
      <c r="A67" s="12" t="inlineStr"/>
      <c r="B67" s="22" t="inlineStr">
        <is>
          <t>PROTECT</t>
        </is>
      </c>
      <c r="C67" s="24" t="inlineStr">
        <is>
          <t>PR.AT-01</t>
        </is>
      </c>
      <c r="D67" s="23" t="inlineStr">
        <is>
          <t>Awareness and training provided to all personnel</t>
        </is>
      </c>
      <c r="E67" s="38">
        <f>'Current Profile'!F68</f>
        <v/>
      </c>
      <c r="F67" s="38">
        <f>'Target Profile'!F68</f>
        <v/>
      </c>
      <c r="G67" s="16">
        <f>IF(ISNUMBER('Target Profile'!F68)*ISNUMBER('Current Profile'!F68),'Target Profile'!F68-'Current Profile'!F68,"")</f>
        <v/>
      </c>
      <c r="H67" s="16">
        <f>IF(G67="","",IF(G67&gt;=3,"🔴 Critical",IF(G67=2,"🟠 High",IF(G67=1,"🟡 Medium","✅ None"))))</f>
        <v/>
      </c>
      <c r="I67" s="17" t="inlineStr"/>
    </row>
    <row r="68" ht="18" customHeight="1">
      <c r="A68" s="12" t="inlineStr"/>
      <c r="B68" s="22" t="inlineStr">
        <is>
          <t>PROTECT</t>
        </is>
      </c>
      <c r="C68" s="24" t="inlineStr">
        <is>
          <t>PR.AT-02</t>
        </is>
      </c>
      <c r="D68" s="23" t="inlineStr">
        <is>
          <t>Specialized role training provided</t>
        </is>
      </c>
      <c r="E68" s="38">
        <f>'Current Profile'!F69</f>
        <v/>
      </c>
      <c r="F68" s="38">
        <f>'Target Profile'!F69</f>
        <v/>
      </c>
      <c r="G68" s="16">
        <f>IF(ISNUMBER('Target Profile'!F69)*ISNUMBER('Current Profile'!F69),'Target Profile'!F69-'Current Profile'!F69,"")</f>
        <v/>
      </c>
      <c r="H68" s="16">
        <f>IF(G68="","",IF(G68&gt;=3,"🔴 Critical",IF(G68=2,"🟠 High",IF(G68=1,"🟡 Medium","✅ None"))))</f>
        <v/>
      </c>
      <c r="I68" s="17" t="inlineStr"/>
    </row>
    <row r="69" ht="18" customHeight="1">
      <c r="A69" s="12" t="inlineStr"/>
      <c r="B69" s="22" t="inlineStr">
        <is>
          <t>PROTECT</t>
        </is>
      </c>
      <c r="C69" s="24" t="inlineStr">
        <is>
          <t>PR.DS-01</t>
        </is>
      </c>
      <c r="D69" s="23" t="inlineStr">
        <is>
          <t>Data-at-rest protected</t>
        </is>
      </c>
      <c r="E69" s="38">
        <f>'Current Profile'!F70</f>
        <v/>
      </c>
      <c r="F69" s="38">
        <f>'Target Profile'!F70</f>
        <v/>
      </c>
      <c r="G69" s="16">
        <f>IF(ISNUMBER('Target Profile'!F70)*ISNUMBER('Current Profile'!F70),'Target Profile'!F70-'Current Profile'!F70,"")</f>
        <v/>
      </c>
      <c r="H69" s="16">
        <f>IF(G69="","",IF(G69&gt;=3,"🔴 Critical",IF(G69=2,"🟠 High",IF(G69=1,"🟡 Medium","✅ None"))))</f>
        <v/>
      </c>
      <c r="I69" s="17" t="inlineStr"/>
    </row>
    <row r="70" ht="18" customHeight="1">
      <c r="A70" s="12" t="inlineStr"/>
      <c r="B70" s="22" t="inlineStr">
        <is>
          <t>PROTECT</t>
        </is>
      </c>
      <c r="C70" s="24" t="inlineStr">
        <is>
          <t>PR.DS-02</t>
        </is>
      </c>
      <c r="D70" s="23" t="inlineStr">
        <is>
          <t>Data-in-transit protected</t>
        </is>
      </c>
      <c r="E70" s="38">
        <f>'Current Profile'!F71</f>
        <v/>
      </c>
      <c r="F70" s="38">
        <f>'Target Profile'!F71</f>
        <v/>
      </c>
      <c r="G70" s="16">
        <f>IF(ISNUMBER('Target Profile'!F71)*ISNUMBER('Current Profile'!F71),'Target Profile'!F71-'Current Profile'!F71,"")</f>
        <v/>
      </c>
      <c r="H70" s="16">
        <f>IF(G70="","",IF(G70&gt;=3,"🔴 Critical",IF(G70=2,"🟠 High",IF(G70=1,"🟡 Medium","✅ None"))))</f>
        <v/>
      </c>
      <c r="I70" s="17" t="inlineStr"/>
    </row>
    <row r="71" ht="18" customHeight="1">
      <c r="A71" s="12" t="inlineStr"/>
      <c r="B71" s="22" t="inlineStr">
        <is>
          <t>PROTECT</t>
        </is>
      </c>
      <c r="C71" s="24" t="inlineStr">
        <is>
          <t>PR.DS-10</t>
        </is>
      </c>
      <c r="D71" s="23" t="inlineStr">
        <is>
          <t>Data-in-use protected</t>
        </is>
      </c>
      <c r="E71" s="38">
        <f>'Current Profile'!F72</f>
        <v/>
      </c>
      <c r="F71" s="38">
        <f>'Target Profile'!F72</f>
        <v/>
      </c>
      <c r="G71" s="16">
        <f>IF(ISNUMBER('Target Profile'!F72)*ISNUMBER('Current Profile'!F72),'Target Profile'!F72-'Current Profile'!F72,"")</f>
        <v/>
      </c>
      <c r="H71" s="16">
        <f>IF(G71="","",IF(G71&gt;=3,"🔴 Critical",IF(G71=2,"🟠 High",IF(G71=1,"🟡 Medium","✅ None"))))</f>
        <v/>
      </c>
      <c r="I71" s="17" t="inlineStr"/>
    </row>
    <row r="72" ht="18" customHeight="1">
      <c r="A72" s="12" t="inlineStr"/>
      <c r="B72" s="22" t="inlineStr">
        <is>
          <t>PROTECT</t>
        </is>
      </c>
      <c r="C72" s="24" t="inlineStr">
        <is>
          <t>PR.DS-11</t>
        </is>
      </c>
      <c r="D72" s="23" t="inlineStr">
        <is>
          <t>Backups created, protected, maintained, and tested</t>
        </is>
      </c>
      <c r="E72" s="38">
        <f>'Current Profile'!F73</f>
        <v/>
      </c>
      <c r="F72" s="38">
        <f>'Target Profile'!F73</f>
        <v/>
      </c>
      <c r="G72" s="16">
        <f>IF(ISNUMBER('Target Profile'!F73)*ISNUMBER('Current Profile'!F73),'Target Profile'!F73-'Current Profile'!F73,"")</f>
        <v/>
      </c>
      <c r="H72" s="16">
        <f>IF(G72="","",IF(G72&gt;=3,"🔴 Critical",IF(G72=2,"🟠 High",IF(G72=1,"🟡 Medium","✅ None"))))</f>
        <v/>
      </c>
      <c r="I72" s="17" t="inlineStr"/>
    </row>
    <row r="73" ht="18" customHeight="1">
      <c r="A73" s="12" t="inlineStr"/>
      <c r="B73" s="22" t="inlineStr">
        <is>
          <t>PROTECT</t>
        </is>
      </c>
      <c r="C73" s="24" t="inlineStr">
        <is>
          <t>PR.PS-01</t>
        </is>
      </c>
      <c r="D73" s="23" t="inlineStr">
        <is>
          <t>Configuration management applied</t>
        </is>
      </c>
      <c r="E73" s="38">
        <f>'Current Profile'!F74</f>
        <v/>
      </c>
      <c r="F73" s="38">
        <f>'Target Profile'!F74</f>
        <v/>
      </c>
      <c r="G73" s="16">
        <f>IF(ISNUMBER('Target Profile'!F74)*ISNUMBER('Current Profile'!F74),'Target Profile'!F74-'Current Profile'!F74,"")</f>
        <v/>
      </c>
      <c r="H73" s="16">
        <f>IF(G73="","",IF(G73&gt;=3,"🔴 Critical",IF(G73=2,"🟠 High",IF(G73=1,"🟡 Medium","✅ None"))))</f>
        <v/>
      </c>
      <c r="I73" s="17" t="inlineStr"/>
    </row>
    <row r="74" ht="18" customHeight="1">
      <c r="A74" s="12" t="inlineStr"/>
      <c r="B74" s="22" t="inlineStr">
        <is>
          <t>PROTECT</t>
        </is>
      </c>
      <c r="C74" s="24" t="inlineStr">
        <is>
          <t>PR.PS-02</t>
        </is>
      </c>
      <c r="D74" s="23" t="inlineStr">
        <is>
          <t>Software maintained and replaced</t>
        </is>
      </c>
      <c r="E74" s="38">
        <f>'Current Profile'!F75</f>
        <v/>
      </c>
      <c r="F74" s="38">
        <f>'Target Profile'!F75</f>
        <v/>
      </c>
      <c r="G74" s="16">
        <f>IF(ISNUMBER('Target Profile'!F75)*ISNUMBER('Current Profile'!F75),'Target Profile'!F75-'Current Profile'!F75,"")</f>
        <v/>
      </c>
      <c r="H74" s="16">
        <f>IF(G74="","",IF(G74&gt;=3,"🔴 Critical",IF(G74=2,"🟠 High",IF(G74=1,"🟡 Medium","✅ None"))))</f>
        <v/>
      </c>
      <c r="I74" s="17" t="inlineStr"/>
    </row>
    <row r="75" ht="18" customHeight="1">
      <c r="A75" s="12" t="inlineStr"/>
      <c r="B75" s="22" t="inlineStr">
        <is>
          <t>PROTECT</t>
        </is>
      </c>
      <c r="C75" s="24" t="inlineStr">
        <is>
          <t>PR.PS-03</t>
        </is>
      </c>
      <c r="D75" s="23" t="inlineStr">
        <is>
          <t>Hardware maintained and replaced</t>
        </is>
      </c>
      <c r="E75" s="38">
        <f>'Current Profile'!F76</f>
        <v/>
      </c>
      <c r="F75" s="38">
        <f>'Target Profile'!F76</f>
        <v/>
      </c>
      <c r="G75" s="16">
        <f>IF(ISNUMBER('Target Profile'!F76)*ISNUMBER('Current Profile'!F76),'Target Profile'!F76-'Current Profile'!F76,"")</f>
        <v/>
      </c>
      <c r="H75" s="16">
        <f>IF(G75="","",IF(G75&gt;=3,"🔴 Critical",IF(G75=2,"🟠 High",IF(G75=1,"🟡 Medium","✅ None"))))</f>
        <v/>
      </c>
      <c r="I75" s="17" t="inlineStr"/>
    </row>
    <row r="76" ht="18" customHeight="1">
      <c r="A76" s="12" t="inlineStr"/>
      <c r="B76" s="22" t="inlineStr">
        <is>
          <t>PROTECT</t>
        </is>
      </c>
      <c r="C76" s="24" t="inlineStr">
        <is>
          <t>PR.PS-04</t>
        </is>
      </c>
      <c r="D76" s="23" t="inlineStr">
        <is>
          <t>Log records generated for monitoring</t>
        </is>
      </c>
      <c r="E76" s="38">
        <f>'Current Profile'!F77</f>
        <v/>
      </c>
      <c r="F76" s="38">
        <f>'Target Profile'!F77</f>
        <v/>
      </c>
      <c r="G76" s="16">
        <f>IF(ISNUMBER('Target Profile'!F77)*ISNUMBER('Current Profile'!F77),'Target Profile'!F77-'Current Profile'!F77,"")</f>
        <v/>
      </c>
      <c r="H76" s="16">
        <f>IF(G76="","",IF(G76&gt;=3,"🔴 Critical",IF(G76=2,"🟠 High",IF(G76=1,"🟡 Medium","✅ None"))))</f>
        <v/>
      </c>
      <c r="I76" s="17" t="inlineStr"/>
    </row>
    <row r="77" ht="18" customHeight="1">
      <c r="A77" s="12" t="inlineStr"/>
      <c r="B77" s="22" t="inlineStr">
        <is>
          <t>PROTECT</t>
        </is>
      </c>
      <c r="C77" s="24" t="inlineStr">
        <is>
          <t>PR.PS-05</t>
        </is>
      </c>
      <c r="D77" s="23" t="inlineStr">
        <is>
          <t>Unauthorized software prevented</t>
        </is>
      </c>
      <c r="E77" s="38">
        <f>'Current Profile'!F78</f>
        <v/>
      </c>
      <c r="F77" s="38">
        <f>'Target Profile'!F78</f>
        <v/>
      </c>
      <c r="G77" s="16">
        <f>IF(ISNUMBER('Target Profile'!F78)*ISNUMBER('Current Profile'!F78),'Target Profile'!F78-'Current Profile'!F78,"")</f>
        <v/>
      </c>
      <c r="H77" s="16">
        <f>IF(G77="","",IF(G77&gt;=3,"🔴 Critical",IF(G77=2,"🟠 High",IF(G77=1,"🟡 Medium","✅ None"))))</f>
        <v/>
      </c>
      <c r="I77" s="17" t="inlineStr"/>
    </row>
    <row r="78" ht="18" customHeight="1">
      <c r="A78" s="12" t="inlineStr"/>
      <c r="B78" s="22" t="inlineStr">
        <is>
          <t>PROTECT</t>
        </is>
      </c>
      <c r="C78" s="24" t="inlineStr">
        <is>
          <t>PR.PS-06</t>
        </is>
      </c>
      <c r="D78" s="23" t="inlineStr">
        <is>
          <t>Secure software development practices applied</t>
        </is>
      </c>
      <c r="E78" s="38">
        <f>'Current Profile'!F79</f>
        <v/>
      </c>
      <c r="F78" s="38">
        <f>'Target Profile'!F79</f>
        <v/>
      </c>
      <c r="G78" s="16">
        <f>IF(ISNUMBER('Target Profile'!F79)*ISNUMBER('Current Profile'!F79),'Target Profile'!F79-'Current Profile'!F79,"")</f>
        <v/>
      </c>
      <c r="H78" s="16">
        <f>IF(G78="","",IF(G78&gt;=3,"🔴 Critical",IF(G78=2,"🟠 High",IF(G78=1,"🟡 Medium","✅ None"))))</f>
        <v/>
      </c>
      <c r="I78" s="17" t="inlineStr"/>
    </row>
    <row r="79" ht="18" customHeight="1">
      <c r="A79" s="12" t="inlineStr"/>
      <c r="B79" s="22" t="inlineStr">
        <is>
          <t>PROTECT</t>
        </is>
      </c>
      <c r="C79" s="24" t="inlineStr">
        <is>
          <t>PR.IR-01</t>
        </is>
      </c>
      <c r="D79" s="23" t="inlineStr">
        <is>
          <t>Networks protected from unauthorized access</t>
        </is>
      </c>
      <c r="E79" s="38">
        <f>'Current Profile'!F80</f>
        <v/>
      </c>
      <c r="F79" s="38">
        <f>'Target Profile'!F80</f>
        <v/>
      </c>
      <c r="G79" s="16">
        <f>IF(ISNUMBER('Target Profile'!F80)*ISNUMBER('Current Profile'!F80),'Target Profile'!F80-'Current Profile'!F80,"")</f>
        <v/>
      </c>
      <c r="H79" s="16">
        <f>IF(G79="","",IF(G79&gt;=3,"🔴 Critical",IF(G79=2,"🟠 High",IF(G79=1,"🟡 Medium","✅ None"))))</f>
        <v/>
      </c>
      <c r="I79" s="17" t="inlineStr"/>
    </row>
    <row r="80" ht="18" customHeight="1">
      <c r="A80" s="12" t="inlineStr"/>
      <c r="B80" s="22" t="inlineStr">
        <is>
          <t>PROTECT</t>
        </is>
      </c>
      <c r="C80" s="24" t="inlineStr">
        <is>
          <t>PR.IR-02</t>
        </is>
      </c>
      <c r="D80" s="23" t="inlineStr">
        <is>
          <t>Assets protected from environmental threats</t>
        </is>
      </c>
      <c r="E80" s="38">
        <f>'Current Profile'!F81</f>
        <v/>
      </c>
      <c r="F80" s="38">
        <f>'Target Profile'!F81</f>
        <v/>
      </c>
      <c r="G80" s="16">
        <f>IF(ISNUMBER('Target Profile'!F81)*ISNUMBER('Current Profile'!F81),'Target Profile'!F81-'Current Profile'!F81,"")</f>
        <v/>
      </c>
      <c r="H80" s="16">
        <f>IF(G80="","",IF(G80&gt;=3,"🔴 Critical",IF(G80=2,"🟠 High",IF(G80=1,"🟡 Medium","✅ None"))))</f>
        <v/>
      </c>
      <c r="I80" s="17" t="inlineStr"/>
    </row>
    <row r="81" ht="18" customHeight="1">
      <c r="A81" s="12" t="inlineStr"/>
      <c r="B81" s="22" t="inlineStr">
        <is>
          <t>PROTECT</t>
        </is>
      </c>
      <c r="C81" s="24" t="inlineStr">
        <is>
          <t>PR.IR-03</t>
        </is>
      </c>
      <c r="D81" s="23" t="inlineStr">
        <is>
          <t>Resilience mechanisms implemented</t>
        </is>
      </c>
      <c r="E81" s="38">
        <f>'Current Profile'!F82</f>
        <v/>
      </c>
      <c r="F81" s="38">
        <f>'Target Profile'!F82</f>
        <v/>
      </c>
      <c r="G81" s="16">
        <f>IF(ISNUMBER('Target Profile'!F82)*ISNUMBER('Current Profile'!F82),'Target Profile'!F82-'Current Profile'!F82,"")</f>
        <v/>
      </c>
      <c r="H81" s="16">
        <f>IF(G81="","",IF(G81&gt;=3,"🔴 Critical",IF(G81=2,"🟠 High",IF(G81=1,"🟡 Medium","✅ None"))))</f>
        <v/>
      </c>
      <c r="I81" s="17" t="inlineStr"/>
    </row>
    <row r="82" ht="18" customHeight="1">
      <c r="A82" s="12" t="inlineStr"/>
      <c r="B82" s="22" t="inlineStr">
        <is>
          <t>PROTECT</t>
        </is>
      </c>
      <c r="C82" s="24" t="inlineStr">
        <is>
          <t>PR.IR-04</t>
        </is>
      </c>
      <c r="D82" s="23" t="inlineStr">
        <is>
          <t>Adequate resource capacity ensured</t>
        </is>
      </c>
      <c r="E82" s="38">
        <f>'Current Profile'!F83</f>
        <v/>
      </c>
      <c r="F82" s="38">
        <f>'Target Profile'!F83</f>
        <v/>
      </c>
      <c r="G82" s="16">
        <f>IF(ISNUMBER('Target Profile'!F83)*ISNUMBER('Current Profile'!F83),'Target Profile'!F83-'Current Profile'!F83,"")</f>
        <v/>
      </c>
      <c r="H82" s="16">
        <f>IF(G82="","",IF(G82&gt;=3,"🔴 Critical",IF(G82=2,"🟠 High",IF(G82=1,"🟡 Medium","✅ None"))))</f>
        <v/>
      </c>
      <c r="I82" s="17" t="inlineStr"/>
    </row>
    <row r="83" ht="6" customHeight="1"/>
    <row r="84" ht="22" customHeight="1">
      <c r="B84" s="25" t="inlineStr">
        <is>
          <t>▶  DETECT (DE)</t>
        </is>
      </c>
    </row>
    <row r="85" ht="18" customHeight="1">
      <c r="A85" s="12" t="inlineStr"/>
      <c r="B85" s="26" t="inlineStr">
        <is>
          <t>DETECT</t>
        </is>
      </c>
      <c r="C85" s="28" t="inlineStr">
        <is>
          <t>DE.CM-01</t>
        </is>
      </c>
      <c r="D85" s="27" t="inlineStr">
        <is>
          <t>Networks and network services monitored</t>
        </is>
      </c>
      <c r="E85" s="38">
        <f>'Current Profile'!F86</f>
        <v/>
      </c>
      <c r="F85" s="38">
        <f>'Target Profile'!F86</f>
        <v/>
      </c>
      <c r="G85" s="16">
        <f>IF(ISNUMBER('Target Profile'!F86)*ISNUMBER('Current Profile'!F86),'Target Profile'!F86-'Current Profile'!F86,"")</f>
        <v/>
      </c>
      <c r="H85" s="16">
        <f>IF(G85="","",IF(G85&gt;=3,"🔴 Critical",IF(G85=2,"🟠 High",IF(G85=1,"🟡 Medium","✅ None"))))</f>
        <v/>
      </c>
      <c r="I85" s="17" t="inlineStr"/>
    </row>
    <row r="86" ht="18" customHeight="1">
      <c r="A86" s="12" t="inlineStr"/>
      <c r="B86" s="26" t="inlineStr">
        <is>
          <t>DETECT</t>
        </is>
      </c>
      <c r="C86" s="28" t="inlineStr">
        <is>
          <t>DE.CM-02</t>
        </is>
      </c>
      <c r="D86" s="27" t="inlineStr">
        <is>
          <t>Physical environment monitored</t>
        </is>
      </c>
      <c r="E86" s="38">
        <f>'Current Profile'!F87</f>
        <v/>
      </c>
      <c r="F86" s="38">
        <f>'Target Profile'!F87</f>
        <v/>
      </c>
      <c r="G86" s="16">
        <f>IF(ISNUMBER('Target Profile'!F87)*ISNUMBER('Current Profile'!F87),'Target Profile'!F87-'Current Profile'!F87,"")</f>
        <v/>
      </c>
      <c r="H86" s="16">
        <f>IF(G86="","",IF(G86&gt;=3,"🔴 Critical",IF(G86=2,"🟠 High",IF(G86=1,"🟡 Medium","✅ None"))))</f>
        <v/>
      </c>
      <c r="I86" s="17" t="inlineStr"/>
    </row>
    <row r="87" ht="18" customHeight="1">
      <c r="A87" s="12" t="inlineStr"/>
      <c r="B87" s="26" t="inlineStr">
        <is>
          <t>DETECT</t>
        </is>
      </c>
      <c r="C87" s="28" t="inlineStr">
        <is>
          <t>DE.CM-03</t>
        </is>
      </c>
      <c r="D87" s="27" t="inlineStr">
        <is>
          <t>Personnel activity and technology usage monitored</t>
        </is>
      </c>
      <c r="E87" s="38">
        <f>'Current Profile'!F88</f>
        <v/>
      </c>
      <c r="F87" s="38">
        <f>'Target Profile'!F88</f>
        <v/>
      </c>
      <c r="G87" s="16">
        <f>IF(ISNUMBER('Target Profile'!F88)*ISNUMBER('Current Profile'!F88),'Target Profile'!F88-'Current Profile'!F88,"")</f>
        <v/>
      </c>
      <c r="H87" s="16">
        <f>IF(G87="","",IF(G87&gt;=3,"🔴 Critical",IF(G87=2,"🟠 High",IF(G87=1,"🟡 Medium","✅ None"))))</f>
        <v/>
      </c>
      <c r="I87" s="17" t="inlineStr"/>
    </row>
    <row r="88" ht="18" customHeight="1">
      <c r="A88" s="12" t="inlineStr"/>
      <c r="B88" s="26" t="inlineStr">
        <is>
          <t>DETECT</t>
        </is>
      </c>
      <c r="C88" s="28" t="inlineStr">
        <is>
          <t>DE.CM-06</t>
        </is>
      </c>
      <c r="D88" s="27" t="inlineStr">
        <is>
          <t>External service provider activities monitored</t>
        </is>
      </c>
      <c r="E88" s="38">
        <f>'Current Profile'!F89</f>
        <v/>
      </c>
      <c r="F88" s="38">
        <f>'Target Profile'!F89</f>
        <v/>
      </c>
      <c r="G88" s="16">
        <f>IF(ISNUMBER('Target Profile'!F89)*ISNUMBER('Current Profile'!F89),'Target Profile'!F89-'Current Profile'!F89,"")</f>
        <v/>
      </c>
      <c r="H88" s="16">
        <f>IF(G88="","",IF(G88&gt;=3,"🔴 Critical",IF(G88=2,"🟠 High",IF(G88=1,"🟡 Medium","✅ None"))))</f>
        <v/>
      </c>
      <c r="I88" s="17" t="inlineStr"/>
    </row>
    <row r="89" ht="18" customHeight="1">
      <c r="A89" s="12" t="inlineStr"/>
      <c r="B89" s="26" t="inlineStr">
        <is>
          <t>DETECT</t>
        </is>
      </c>
      <c r="C89" s="28" t="inlineStr">
        <is>
          <t>DE.CM-09</t>
        </is>
      </c>
      <c r="D89" s="27" t="inlineStr">
        <is>
          <t>Computing hardware and software monitored</t>
        </is>
      </c>
      <c r="E89" s="38">
        <f>'Current Profile'!F90</f>
        <v/>
      </c>
      <c r="F89" s="38">
        <f>'Target Profile'!F90</f>
        <v/>
      </c>
      <c r="G89" s="16">
        <f>IF(ISNUMBER('Target Profile'!F90)*ISNUMBER('Current Profile'!F90),'Target Profile'!F90-'Current Profile'!F90,"")</f>
        <v/>
      </c>
      <c r="H89" s="16">
        <f>IF(G89="","",IF(G89&gt;=3,"🔴 Critical",IF(G89=2,"🟠 High",IF(G89=1,"🟡 Medium","✅ None"))))</f>
        <v/>
      </c>
      <c r="I89" s="17" t="inlineStr"/>
    </row>
    <row r="90" ht="18" customHeight="1">
      <c r="A90" s="12" t="inlineStr"/>
      <c r="B90" s="26" t="inlineStr">
        <is>
          <t>DETECT</t>
        </is>
      </c>
      <c r="C90" s="28" t="inlineStr">
        <is>
          <t>DE.AE-02</t>
        </is>
      </c>
      <c r="D90" s="27" t="inlineStr">
        <is>
          <t>Adverse events analyzed to characterize them</t>
        </is>
      </c>
      <c r="E90" s="38">
        <f>'Current Profile'!F91</f>
        <v/>
      </c>
      <c r="F90" s="38">
        <f>'Target Profile'!F91</f>
        <v/>
      </c>
      <c r="G90" s="16">
        <f>IF(ISNUMBER('Target Profile'!F91)*ISNUMBER('Current Profile'!F91),'Target Profile'!F91-'Current Profile'!F91,"")</f>
        <v/>
      </c>
      <c r="H90" s="16">
        <f>IF(G90="","",IF(G90&gt;=3,"🔴 Critical",IF(G90=2,"🟠 High",IF(G90=1,"🟡 Medium","✅ None"))))</f>
        <v/>
      </c>
      <c r="I90" s="17" t="inlineStr"/>
    </row>
    <row r="91" ht="18" customHeight="1">
      <c r="A91" s="12" t="inlineStr"/>
      <c r="B91" s="26" t="inlineStr">
        <is>
          <t>DETECT</t>
        </is>
      </c>
      <c r="C91" s="28" t="inlineStr">
        <is>
          <t>DE.AE-03</t>
        </is>
      </c>
      <c r="D91" s="27" t="inlineStr">
        <is>
          <t>Information correlated from multiple sources</t>
        </is>
      </c>
      <c r="E91" s="38">
        <f>'Current Profile'!F92</f>
        <v/>
      </c>
      <c r="F91" s="38">
        <f>'Target Profile'!F92</f>
        <v/>
      </c>
      <c r="G91" s="16">
        <f>IF(ISNUMBER('Target Profile'!F92)*ISNUMBER('Current Profile'!F92),'Target Profile'!F92-'Current Profile'!F92,"")</f>
        <v/>
      </c>
      <c r="H91" s="16">
        <f>IF(G91="","",IF(G91&gt;=3,"🔴 Critical",IF(G91=2,"🟠 High",IF(G91=1,"🟡 Medium","✅ None"))))</f>
        <v/>
      </c>
      <c r="I91" s="17" t="inlineStr"/>
    </row>
    <row r="92" ht="18" customHeight="1">
      <c r="A92" s="12" t="inlineStr"/>
      <c r="B92" s="26" t="inlineStr">
        <is>
          <t>DETECT</t>
        </is>
      </c>
      <c r="C92" s="28" t="inlineStr">
        <is>
          <t>DE.AE-04</t>
        </is>
      </c>
      <c r="D92" s="27" t="inlineStr">
        <is>
          <t>Estimated impact and scope understood</t>
        </is>
      </c>
      <c r="E92" s="38">
        <f>'Current Profile'!F93</f>
        <v/>
      </c>
      <c r="F92" s="38">
        <f>'Target Profile'!F93</f>
        <v/>
      </c>
      <c r="G92" s="16">
        <f>IF(ISNUMBER('Target Profile'!F93)*ISNUMBER('Current Profile'!F93),'Target Profile'!F93-'Current Profile'!F93,"")</f>
        <v/>
      </c>
      <c r="H92" s="16">
        <f>IF(G92="","",IF(G92&gt;=3,"🔴 Critical",IF(G92=2,"🟠 High",IF(G92=1,"🟡 Medium","✅ None"))))</f>
        <v/>
      </c>
      <c r="I92" s="17" t="inlineStr"/>
    </row>
    <row r="93" ht="18" customHeight="1">
      <c r="A93" s="12" t="inlineStr"/>
      <c r="B93" s="26" t="inlineStr">
        <is>
          <t>DETECT</t>
        </is>
      </c>
      <c r="C93" s="28" t="inlineStr">
        <is>
          <t>DE.AE-06</t>
        </is>
      </c>
      <c r="D93" s="27" t="inlineStr">
        <is>
          <t>Information on adverse events provided to staff</t>
        </is>
      </c>
      <c r="E93" s="38">
        <f>'Current Profile'!F94</f>
        <v/>
      </c>
      <c r="F93" s="38">
        <f>'Target Profile'!F94</f>
        <v/>
      </c>
      <c r="G93" s="16">
        <f>IF(ISNUMBER('Target Profile'!F94)*ISNUMBER('Current Profile'!F94),'Target Profile'!F94-'Current Profile'!F94,"")</f>
        <v/>
      </c>
      <c r="H93" s="16">
        <f>IF(G93="","",IF(G93&gt;=3,"🔴 Critical",IF(G93=2,"🟠 High",IF(G93=1,"🟡 Medium","✅ None"))))</f>
        <v/>
      </c>
      <c r="I93" s="17" t="inlineStr"/>
    </row>
    <row r="94" ht="18" customHeight="1">
      <c r="A94" s="12" t="inlineStr"/>
      <c r="B94" s="26" t="inlineStr">
        <is>
          <t>DETECT</t>
        </is>
      </c>
      <c r="C94" s="28" t="inlineStr">
        <is>
          <t>DE.AE-07</t>
        </is>
      </c>
      <c r="D94" s="27" t="inlineStr">
        <is>
          <t>Cyber threat intelligence integrated</t>
        </is>
      </c>
      <c r="E94" s="38">
        <f>'Current Profile'!F95</f>
        <v/>
      </c>
      <c r="F94" s="38">
        <f>'Target Profile'!F95</f>
        <v/>
      </c>
      <c r="G94" s="16">
        <f>IF(ISNUMBER('Target Profile'!F95)*ISNUMBER('Current Profile'!F95),'Target Profile'!F95-'Current Profile'!F95,"")</f>
        <v/>
      </c>
      <c r="H94" s="16">
        <f>IF(G94="","",IF(G94&gt;=3,"🔴 Critical",IF(G94=2,"🟠 High",IF(G94=1,"🟡 Medium","✅ None"))))</f>
        <v/>
      </c>
      <c r="I94" s="17" t="inlineStr"/>
    </row>
    <row r="95" ht="18" customHeight="1">
      <c r="A95" s="12" t="inlineStr"/>
      <c r="B95" s="26" t="inlineStr">
        <is>
          <t>DETECT</t>
        </is>
      </c>
      <c r="C95" s="28" t="inlineStr">
        <is>
          <t>DE.AE-08</t>
        </is>
      </c>
      <c r="D95" s="27" t="inlineStr">
        <is>
          <t>Incidents declared when criteria met</t>
        </is>
      </c>
      <c r="E95" s="38">
        <f>'Current Profile'!F96</f>
        <v/>
      </c>
      <c r="F95" s="38">
        <f>'Target Profile'!F96</f>
        <v/>
      </c>
      <c r="G95" s="16">
        <f>IF(ISNUMBER('Target Profile'!F96)*ISNUMBER('Current Profile'!F96),'Target Profile'!F96-'Current Profile'!F96,"")</f>
        <v/>
      </c>
      <c r="H95" s="16">
        <f>IF(G95="","",IF(G95&gt;=3,"🔴 Critical",IF(G95=2,"🟠 High",IF(G95=1,"🟡 Medium","✅ None"))))</f>
        <v/>
      </c>
      <c r="I95" s="17" t="inlineStr"/>
    </row>
    <row r="96" ht="6" customHeight="1"/>
    <row r="97" ht="22" customHeight="1">
      <c r="B97" s="29" t="inlineStr">
        <is>
          <t>▶  RESPOND (RS)</t>
        </is>
      </c>
    </row>
    <row r="98" ht="18" customHeight="1">
      <c r="A98" s="12" t="inlineStr"/>
      <c r="B98" s="30" t="inlineStr">
        <is>
          <t>RESPOND</t>
        </is>
      </c>
      <c r="C98" s="32" t="inlineStr">
        <is>
          <t>RS.MA-01</t>
        </is>
      </c>
      <c r="D98" s="31" t="inlineStr">
        <is>
          <t>Incident response plan exists and is executable</t>
        </is>
      </c>
      <c r="E98" s="38">
        <f>'Current Profile'!F99</f>
        <v/>
      </c>
      <c r="F98" s="38">
        <f>'Target Profile'!F99</f>
        <v/>
      </c>
      <c r="G98" s="16">
        <f>IF(ISNUMBER('Target Profile'!F99)*ISNUMBER('Current Profile'!F99),'Target Profile'!F99-'Current Profile'!F99,"")</f>
        <v/>
      </c>
      <c r="H98" s="16">
        <f>IF(G98="","",IF(G98&gt;=3,"🔴 Critical",IF(G98=2,"🟠 High",IF(G98=1,"🟡 Medium","✅ None"))))</f>
        <v/>
      </c>
      <c r="I98" s="17" t="inlineStr"/>
    </row>
    <row r="99" ht="18" customHeight="1">
      <c r="A99" s="12" t="inlineStr"/>
      <c r="B99" s="30" t="inlineStr">
        <is>
          <t>RESPOND</t>
        </is>
      </c>
      <c r="C99" s="32" t="inlineStr">
        <is>
          <t>RS.MA-02</t>
        </is>
      </c>
      <c r="D99" s="31" t="inlineStr">
        <is>
          <t>Incident reports triaged and validated</t>
        </is>
      </c>
      <c r="E99" s="38">
        <f>'Current Profile'!F100</f>
        <v/>
      </c>
      <c r="F99" s="38">
        <f>'Target Profile'!F100</f>
        <v/>
      </c>
      <c r="G99" s="16">
        <f>IF(ISNUMBER('Target Profile'!F100)*ISNUMBER('Current Profile'!F100),'Target Profile'!F100-'Current Profile'!F100,"")</f>
        <v/>
      </c>
      <c r="H99" s="16">
        <f>IF(G99="","",IF(G99&gt;=3,"🔴 Critical",IF(G99=2,"🟠 High",IF(G99=1,"🟡 Medium","✅ None"))))</f>
        <v/>
      </c>
      <c r="I99" s="17" t="inlineStr"/>
    </row>
    <row r="100" ht="18" customHeight="1">
      <c r="A100" s="12" t="inlineStr"/>
      <c r="B100" s="30" t="inlineStr">
        <is>
          <t>RESPOND</t>
        </is>
      </c>
      <c r="C100" s="32" t="inlineStr">
        <is>
          <t>RS.MA-03</t>
        </is>
      </c>
      <c r="D100" s="31" t="inlineStr">
        <is>
          <t>Incidents categorized and prioritized</t>
        </is>
      </c>
      <c r="E100" s="38">
        <f>'Current Profile'!F101</f>
        <v/>
      </c>
      <c r="F100" s="38">
        <f>'Target Profile'!F101</f>
        <v/>
      </c>
      <c r="G100" s="16">
        <f>IF(ISNUMBER('Target Profile'!F101)*ISNUMBER('Current Profile'!F101),'Target Profile'!F101-'Current Profile'!F101,"")</f>
        <v/>
      </c>
      <c r="H100" s="16">
        <f>IF(G100="","",IF(G100&gt;=3,"🔴 Critical",IF(G100=2,"🟠 High",IF(G100=1,"🟡 Medium","✅ None"))))</f>
        <v/>
      </c>
      <c r="I100" s="17" t="inlineStr"/>
    </row>
    <row r="101" ht="18" customHeight="1">
      <c r="A101" s="12" t="inlineStr"/>
      <c r="B101" s="30" t="inlineStr">
        <is>
          <t>RESPOND</t>
        </is>
      </c>
      <c r="C101" s="32" t="inlineStr">
        <is>
          <t>RS.MA-04</t>
        </is>
      </c>
      <c r="D101" s="31" t="inlineStr">
        <is>
          <t>Incidents escalated or elevated as needed</t>
        </is>
      </c>
      <c r="E101" s="38">
        <f>'Current Profile'!F102</f>
        <v/>
      </c>
      <c r="F101" s="38">
        <f>'Target Profile'!F102</f>
        <v/>
      </c>
      <c r="G101" s="16">
        <f>IF(ISNUMBER('Target Profile'!F102)*ISNUMBER('Current Profile'!F102),'Target Profile'!F102-'Current Profile'!F102,"")</f>
        <v/>
      </c>
      <c r="H101" s="16">
        <f>IF(G101="","",IF(G101&gt;=3,"🔴 Critical",IF(G101=2,"🟠 High",IF(G101=1,"🟡 Medium","✅ None"))))</f>
        <v/>
      </c>
      <c r="I101" s="17" t="inlineStr"/>
    </row>
    <row r="102" ht="18" customHeight="1">
      <c r="A102" s="12" t="inlineStr"/>
      <c r="B102" s="30" t="inlineStr">
        <is>
          <t>RESPOND</t>
        </is>
      </c>
      <c r="C102" s="32" t="inlineStr">
        <is>
          <t>RS.MA-05</t>
        </is>
      </c>
      <c r="D102" s="31" t="inlineStr">
        <is>
          <t>Incidents declared contained after analysis</t>
        </is>
      </c>
      <c r="E102" s="38">
        <f>'Current Profile'!F103</f>
        <v/>
      </c>
      <c r="F102" s="38">
        <f>'Target Profile'!F103</f>
        <v/>
      </c>
      <c r="G102" s="16">
        <f>IF(ISNUMBER('Target Profile'!F103)*ISNUMBER('Current Profile'!F103),'Target Profile'!F103-'Current Profile'!F103,"")</f>
        <v/>
      </c>
      <c r="H102" s="16">
        <f>IF(G102="","",IF(G102&gt;=3,"🔴 Critical",IF(G102=2,"🟠 High",IF(G102=1,"🟡 Medium","✅ None"))))</f>
        <v/>
      </c>
      <c r="I102" s="17" t="inlineStr"/>
    </row>
    <row r="103" ht="18" customHeight="1">
      <c r="A103" s="12" t="inlineStr"/>
      <c r="B103" s="30" t="inlineStr">
        <is>
          <t>RESPOND</t>
        </is>
      </c>
      <c r="C103" s="32" t="inlineStr">
        <is>
          <t>RS.AN-03</t>
        </is>
      </c>
      <c r="D103" s="31" t="inlineStr">
        <is>
          <t>Analysis of what took place during incident</t>
        </is>
      </c>
      <c r="E103" s="38">
        <f>'Current Profile'!F104</f>
        <v/>
      </c>
      <c r="F103" s="38">
        <f>'Target Profile'!F104</f>
        <v/>
      </c>
      <c r="G103" s="16">
        <f>IF(ISNUMBER('Target Profile'!F104)*ISNUMBER('Current Profile'!F104),'Target Profile'!F104-'Current Profile'!F104,"")</f>
        <v/>
      </c>
      <c r="H103" s="16">
        <f>IF(G103="","",IF(G103&gt;=3,"🔴 Critical",IF(G103=2,"🟠 High",IF(G103=1,"🟡 Medium","✅ None"))))</f>
        <v/>
      </c>
      <c r="I103" s="17" t="inlineStr"/>
    </row>
    <row r="104" ht="18" customHeight="1">
      <c r="A104" s="12" t="inlineStr"/>
      <c r="B104" s="30" t="inlineStr">
        <is>
          <t>RESPOND</t>
        </is>
      </c>
      <c r="C104" s="32" t="inlineStr">
        <is>
          <t>RS.AN-06</t>
        </is>
      </c>
      <c r="D104" s="31" t="inlineStr">
        <is>
          <t>Actions during investigation recorded</t>
        </is>
      </c>
      <c r="E104" s="38">
        <f>'Current Profile'!F105</f>
        <v/>
      </c>
      <c r="F104" s="38">
        <f>'Target Profile'!F105</f>
        <v/>
      </c>
      <c r="G104" s="16">
        <f>IF(ISNUMBER('Target Profile'!F105)*ISNUMBER('Current Profile'!F105),'Target Profile'!F105-'Current Profile'!F105,"")</f>
        <v/>
      </c>
      <c r="H104" s="16">
        <f>IF(G104="","",IF(G104&gt;=3,"🔴 Critical",IF(G104=2,"🟠 High",IF(G104=1,"🟡 Medium","✅ None"))))</f>
        <v/>
      </c>
      <c r="I104" s="17" t="inlineStr"/>
    </row>
    <row r="105" ht="18" customHeight="1">
      <c r="A105" s="12" t="inlineStr"/>
      <c r="B105" s="30" t="inlineStr">
        <is>
          <t>RESPOND</t>
        </is>
      </c>
      <c r="C105" s="32" t="inlineStr">
        <is>
          <t>RS.AN-07</t>
        </is>
      </c>
      <c r="D105" s="31" t="inlineStr">
        <is>
          <t>Incident data and metadata collected</t>
        </is>
      </c>
      <c r="E105" s="38">
        <f>'Current Profile'!F106</f>
        <v/>
      </c>
      <c r="F105" s="38">
        <f>'Target Profile'!F106</f>
        <v/>
      </c>
      <c r="G105" s="16">
        <f>IF(ISNUMBER('Target Profile'!F106)*ISNUMBER('Current Profile'!F106),'Target Profile'!F106-'Current Profile'!F106,"")</f>
        <v/>
      </c>
      <c r="H105" s="16">
        <f>IF(G105="","",IF(G105&gt;=3,"🔴 Critical",IF(G105=2,"🟠 High",IF(G105=1,"🟡 Medium","✅ None"))))</f>
        <v/>
      </c>
      <c r="I105" s="17" t="inlineStr"/>
    </row>
    <row r="106" ht="18" customHeight="1">
      <c r="A106" s="12" t="inlineStr"/>
      <c r="B106" s="30" t="inlineStr">
        <is>
          <t>RESPOND</t>
        </is>
      </c>
      <c r="C106" s="32" t="inlineStr">
        <is>
          <t>RS.AN-08</t>
        </is>
      </c>
      <c r="D106" s="31" t="inlineStr">
        <is>
          <t>Incident magnitude estimated and validated</t>
        </is>
      </c>
      <c r="E106" s="38">
        <f>'Current Profile'!F107</f>
        <v/>
      </c>
      <c r="F106" s="38">
        <f>'Target Profile'!F107</f>
        <v/>
      </c>
      <c r="G106" s="16">
        <f>IF(ISNUMBER('Target Profile'!F107)*ISNUMBER('Current Profile'!F107),'Target Profile'!F107-'Current Profile'!F107,"")</f>
        <v/>
      </c>
      <c r="H106" s="16">
        <f>IF(G106="","",IF(G106&gt;=3,"🔴 Critical",IF(G106=2,"🟠 High",IF(G106=1,"🟡 Medium","✅ None"))))</f>
        <v/>
      </c>
      <c r="I106" s="17" t="inlineStr"/>
    </row>
    <row r="107" ht="18" customHeight="1">
      <c r="A107" s="12" t="inlineStr"/>
      <c r="B107" s="30" t="inlineStr">
        <is>
          <t>RESPOND</t>
        </is>
      </c>
      <c r="C107" s="32" t="inlineStr">
        <is>
          <t>RS.CO-02</t>
        </is>
      </c>
      <c r="D107" s="31" t="inlineStr">
        <is>
          <t>Internal/external stakeholders notified</t>
        </is>
      </c>
      <c r="E107" s="38">
        <f>'Current Profile'!F108</f>
        <v/>
      </c>
      <c r="F107" s="38">
        <f>'Target Profile'!F108</f>
        <v/>
      </c>
      <c r="G107" s="16">
        <f>IF(ISNUMBER('Target Profile'!F108)*ISNUMBER('Current Profile'!F108),'Target Profile'!F108-'Current Profile'!F108,"")</f>
        <v/>
      </c>
      <c r="H107" s="16">
        <f>IF(G107="","",IF(G107&gt;=3,"🔴 Critical",IF(G107=2,"🟠 High",IF(G107=1,"🟡 Medium","✅ None"))))</f>
        <v/>
      </c>
      <c r="I107" s="17" t="inlineStr"/>
    </row>
    <row r="108" ht="18" customHeight="1">
      <c r="A108" s="12" t="inlineStr"/>
      <c r="B108" s="30" t="inlineStr">
        <is>
          <t>RESPOND</t>
        </is>
      </c>
      <c r="C108" s="32" t="inlineStr">
        <is>
          <t>RS.CO-03</t>
        </is>
      </c>
      <c r="D108" s="31" t="inlineStr">
        <is>
          <t>Information shared with designated stakeholders</t>
        </is>
      </c>
      <c r="E108" s="38">
        <f>'Current Profile'!F109</f>
        <v/>
      </c>
      <c r="F108" s="38">
        <f>'Target Profile'!F109</f>
        <v/>
      </c>
      <c r="G108" s="16">
        <f>IF(ISNUMBER('Target Profile'!F109)*ISNUMBER('Current Profile'!F109),'Target Profile'!F109-'Current Profile'!F109,"")</f>
        <v/>
      </c>
      <c r="H108" s="16">
        <f>IF(G108="","",IF(G108&gt;=3,"🔴 Critical",IF(G108=2,"🟠 High",IF(G108=1,"🟡 Medium","✅ None"))))</f>
        <v/>
      </c>
      <c r="I108" s="17" t="inlineStr"/>
    </row>
    <row r="109" ht="18" customHeight="1">
      <c r="A109" s="12" t="inlineStr"/>
      <c r="B109" s="30" t="inlineStr">
        <is>
          <t>RESPOND</t>
        </is>
      </c>
      <c r="C109" s="32" t="inlineStr">
        <is>
          <t>RS.MI-01</t>
        </is>
      </c>
      <c r="D109" s="31" t="inlineStr">
        <is>
          <t>Incidents contained</t>
        </is>
      </c>
      <c r="E109" s="38">
        <f>'Current Profile'!F110</f>
        <v/>
      </c>
      <c r="F109" s="38">
        <f>'Target Profile'!F110</f>
        <v/>
      </c>
      <c r="G109" s="16">
        <f>IF(ISNUMBER('Target Profile'!F110)*ISNUMBER('Current Profile'!F110),'Target Profile'!F110-'Current Profile'!F110,"")</f>
        <v/>
      </c>
      <c r="H109" s="16">
        <f>IF(G109="","",IF(G109&gt;=3,"🔴 Critical",IF(G109=2,"🟠 High",IF(G109=1,"🟡 Medium","✅ None"))))</f>
        <v/>
      </c>
      <c r="I109" s="17" t="inlineStr"/>
    </row>
    <row r="110" ht="18" customHeight="1">
      <c r="A110" s="12" t="inlineStr"/>
      <c r="B110" s="30" t="inlineStr">
        <is>
          <t>RESPOND</t>
        </is>
      </c>
      <c r="C110" s="32" t="inlineStr">
        <is>
          <t>RS.MI-02</t>
        </is>
      </c>
      <c r="D110" s="31" t="inlineStr">
        <is>
          <t>Incidents eradicated</t>
        </is>
      </c>
      <c r="E110" s="38">
        <f>'Current Profile'!F111</f>
        <v/>
      </c>
      <c r="F110" s="38">
        <f>'Target Profile'!F111</f>
        <v/>
      </c>
      <c r="G110" s="16">
        <f>IF(ISNUMBER('Target Profile'!F111)*ISNUMBER('Current Profile'!F111),'Target Profile'!F111-'Current Profile'!F111,"")</f>
        <v/>
      </c>
      <c r="H110" s="16">
        <f>IF(G110="","",IF(G110&gt;=3,"🔴 Critical",IF(G110=2,"🟠 High",IF(G110=1,"🟡 Medium","✅ None"))))</f>
        <v/>
      </c>
      <c r="I110" s="17" t="inlineStr"/>
    </row>
    <row r="111" ht="6" customHeight="1"/>
    <row r="112" ht="22" customHeight="1">
      <c r="B112" s="33" t="inlineStr">
        <is>
          <t>▶  RECOVER (RC)</t>
        </is>
      </c>
    </row>
    <row r="113" ht="18" customHeight="1">
      <c r="A113" s="12" t="inlineStr"/>
      <c r="B113" s="34" t="inlineStr">
        <is>
          <t>RECOVER</t>
        </is>
      </c>
      <c r="C113" s="36" t="inlineStr">
        <is>
          <t>RC.RP-01</t>
        </is>
      </c>
      <c r="D113" s="35" t="inlineStr">
        <is>
          <t>Recovery portion of IRP executed</t>
        </is>
      </c>
      <c r="E113" s="38">
        <f>'Current Profile'!F114</f>
        <v/>
      </c>
      <c r="F113" s="38">
        <f>'Target Profile'!F114</f>
        <v/>
      </c>
      <c r="G113" s="16">
        <f>IF(ISNUMBER('Target Profile'!F114)*ISNUMBER('Current Profile'!F114),'Target Profile'!F114-'Current Profile'!F114,"")</f>
        <v/>
      </c>
      <c r="H113" s="16">
        <f>IF(G113="","",IF(G113&gt;=3,"🔴 Critical",IF(G113=2,"🟠 High",IF(G113=1,"🟡 Medium","✅ None"))))</f>
        <v/>
      </c>
      <c r="I113" s="17" t="inlineStr"/>
    </row>
    <row r="114" ht="18" customHeight="1">
      <c r="A114" s="12" t="inlineStr"/>
      <c r="B114" s="34" t="inlineStr">
        <is>
          <t>RECOVER</t>
        </is>
      </c>
      <c r="C114" s="36" t="inlineStr">
        <is>
          <t>RC.RP-02</t>
        </is>
      </c>
      <c r="D114" s="35" t="inlineStr">
        <is>
          <t>Recovery actions selected and performed</t>
        </is>
      </c>
      <c r="E114" s="38">
        <f>'Current Profile'!F115</f>
        <v/>
      </c>
      <c r="F114" s="38">
        <f>'Target Profile'!F115</f>
        <v/>
      </c>
      <c r="G114" s="16">
        <f>IF(ISNUMBER('Target Profile'!F115)*ISNUMBER('Current Profile'!F115),'Target Profile'!F115-'Current Profile'!F115,"")</f>
        <v/>
      </c>
      <c r="H114" s="16">
        <f>IF(G114="","",IF(G114&gt;=3,"🔴 Critical",IF(G114=2,"🟠 High",IF(G114=1,"🟡 Medium","✅ None"))))</f>
        <v/>
      </c>
      <c r="I114" s="17" t="inlineStr"/>
    </row>
    <row r="115" ht="18" customHeight="1">
      <c r="A115" s="12" t="inlineStr"/>
      <c r="B115" s="34" t="inlineStr">
        <is>
          <t>RECOVER</t>
        </is>
      </c>
      <c r="C115" s="36" t="inlineStr">
        <is>
          <t>RC.RP-03</t>
        </is>
      </c>
      <c r="D115" s="35" t="inlineStr">
        <is>
          <t>Completeness of recovery confirmed</t>
        </is>
      </c>
      <c r="E115" s="38">
        <f>'Current Profile'!F116</f>
        <v/>
      </c>
      <c r="F115" s="38">
        <f>'Target Profile'!F116</f>
        <v/>
      </c>
      <c r="G115" s="16">
        <f>IF(ISNUMBER('Target Profile'!F116)*ISNUMBER('Current Profile'!F116),'Target Profile'!F116-'Current Profile'!F116,"")</f>
        <v/>
      </c>
      <c r="H115" s="16">
        <f>IF(G115="","",IF(G115&gt;=3,"🔴 Critical",IF(G115=2,"🟠 High",IF(G115=1,"🟡 Medium","✅ None"))))</f>
        <v/>
      </c>
      <c r="I115" s="17" t="inlineStr"/>
    </row>
    <row r="116" ht="18" customHeight="1">
      <c r="A116" s="12" t="inlineStr"/>
      <c r="B116" s="34" t="inlineStr">
        <is>
          <t>RECOVER</t>
        </is>
      </c>
      <c r="C116" s="36" t="inlineStr">
        <is>
          <t>RC.RP-04</t>
        </is>
      </c>
      <c r="D116" s="35" t="inlineStr">
        <is>
          <t>Reputation strategies applied</t>
        </is>
      </c>
      <c r="E116" s="38">
        <f>'Current Profile'!F117</f>
        <v/>
      </c>
      <c r="F116" s="38">
        <f>'Target Profile'!F117</f>
        <v/>
      </c>
      <c r="G116" s="16">
        <f>IF(ISNUMBER('Target Profile'!F117)*ISNUMBER('Current Profile'!F117),'Target Profile'!F117-'Current Profile'!F117,"")</f>
        <v/>
      </c>
      <c r="H116" s="16">
        <f>IF(G116="","",IF(G116&gt;=3,"🔴 Critical",IF(G116=2,"🟠 High",IF(G116=1,"🟡 Medium","✅ None"))))</f>
        <v/>
      </c>
      <c r="I116" s="17" t="inlineStr"/>
    </row>
    <row r="117" ht="18" customHeight="1">
      <c r="A117" s="12" t="inlineStr"/>
      <c r="B117" s="34" t="inlineStr">
        <is>
          <t>RECOVER</t>
        </is>
      </c>
      <c r="C117" s="36" t="inlineStr">
        <is>
          <t>RC.RP-05</t>
        </is>
      </c>
      <c r="D117" s="35" t="inlineStr">
        <is>
          <t>Recovery activities end when criteria met</t>
        </is>
      </c>
      <c r="E117" s="38">
        <f>'Current Profile'!F118</f>
        <v/>
      </c>
      <c r="F117" s="38">
        <f>'Target Profile'!F118</f>
        <v/>
      </c>
      <c r="G117" s="16">
        <f>IF(ISNUMBER('Target Profile'!F118)*ISNUMBER('Current Profile'!F118),'Target Profile'!F118-'Current Profile'!F118,"")</f>
        <v/>
      </c>
      <c r="H117" s="16">
        <f>IF(G117="","",IF(G117&gt;=3,"🔴 Critical",IF(G117=2,"🟠 High",IF(G117=1,"🟡 Medium","✅ None"))))</f>
        <v/>
      </c>
      <c r="I117" s="17" t="inlineStr"/>
    </row>
    <row r="118" ht="18" customHeight="1">
      <c r="A118" s="12" t="inlineStr"/>
      <c r="B118" s="34" t="inlineStr">
        <is>
          <t>RECOVER</t>
        </is>
      </c>
      <c r="C118" s="36" t="inlineStr">
        <is>
          <t>RC.RP-06</t>
        </is>
      </c>
      <c r="D118" s="35" t="inlineStr">
        <is>
          <t>Lessons learned incorporated</t>
        </is>
      </c>
      <c r="E118" s="38">
        <f>'Current Profile'!F119</f>
        <v/>
      </c>
      <c r="F118" s="38">
        <f>'Target Profile'!F119</f>
        <v/>
      </c>
      <c r="G118" s="16">
        <f>IF(ISNUMBER('Target Profile'!F119)*ISNUMBER('Current Profile'!F119),'Target Profile'!F119-'Current Profile'!F119,"")</f>
        <v/>
      </c>
      <c r="H118" s="16">
        <f>IF(G118="","",IF(G118&gt;=3,"🔴 Critical",IF(G118=2,"🟠 High",IF(G118=1,"🟡 Medium","✅ None"))))</f>
        <v/>
      </c>
      <c r="I118" s="17" t="inlineStr"/>
    </row>
    <row r="119" ht="18" customHeight="1">
      <c r="A119" s="12" t="inlineStr"/>
      <c r="B119" s="34" t="inlineStr">
        <is>
          <t>RECOVER</t>
        </is>
      </c>
      <c r="C119" s="36" t="inlineStr">
        <is>
          <t>RC.CO-03</t>
        </is>
      </c>
      <c r="D119" s="35" t="inlineStr">
        <is>
          <t>Recovery activities communicated to stakeholders</t>
        </is>
      </c>
      <c r="E119" s="38">
        <f>'Current Profile'!F120</f>
        <v/>
      </c>
      <c r="F119" s="38">
        <f>'Target Profile'!F120</f>
        <v/>
      </c>
      <c r="G119" s="16">
        <f>IF(ISNUMBER('Target Profile'!F120)*ISNUMBER('Current Profile'!F120),'Target Profile'!F120-'Current Profile'!F120,"")</f>
        <v/>
      </c>
      <c r="H119" s="16">
        <f>IF(G119="","",IF(G119&gt;=3,"🔴 Critical",IF(G119=2,"🟠 High",IF(G119=1,"🟡 Medium","✅ None"))))</f>
        <v/>
      </c>
      <c r="I119" s="17" t="inlineStr"/>
    </row>
    <row r="120" ht="18" customHeight="1">
      <c r="A120" s="12" t="inlineStr"/>
      <c r="B120" s="34" t="inlineStr">
        <is>
          <t>RECOVER</t>
        </is>
      </c>
      <c r="C120" s="36" t="inlineStr">
        <is>
          <t>RC.CO-04</t>
        </is>
      </c>
      <c r="D120" s="35" t="inlineStr">
        <is>
          <t>Public updates shared via approved methods</t>
        </is>
      </c>
      <c r="E120" s="38">
        <f>'Current Profile'!F121</f>
        <v/>
      </c>
      <c r="F120" s="38">
        <f>'Target Profile'!F121</f>
        <v/>
      </c>
      <c r="G120" s="16">
        <f>IF(ISNUMBER('Target Profile'!F121)*ISNUMBER('Current Profile'!F121),'Target Profile'!F121-'Current Profile'!F121,"")</f>
        <v/>
      </c>
      <c r="H120" s="16">
        <f>IF(G120="","",IF(G120&gt;=3,"🔴 Critical",IF(G120=2,"🟠 High",IF(G120=1,"🟡 Medium","✅ None"))))</f>
        <v/>
      </c>
      <c r="I120" s="17" t="inlineStr"/>
    </row>
  </sheetData>
  <mergeCells count="8">
    <mergeCell ref="B97:I97"/>
    <mergeCell ref="B2:I2"/>
    <mergeCell ref="B112:I112"/>
    <mergeCell ref="B37:I37"/>
    <mergeCell ref="B60:I60"/>
    <mergeCell ref="B1:I1"/>
    <mergeCell ref="B84:I84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28" customHeight="1">
      <c r="B1" s="4" t="inlineStr">
        <is>
          <t>NIST CSF 2.0 — Tier Summary Dashboard</t>
        </is>
      </c>
    </row>
    <row r="2" ht="18" customHeight="1">
      <c r="B2" s="37" t="inlineStr">
        <is>
          <t>Scores are drawn automatically from the Gap Analysis sheet. This view is for leadership reporting.</t>
        </is>
      </c>
    </row>
    <row r="3" ht="28" customHeight="1">
      <c r="A3" s="8" t="inlineStr"/>
      <c r="B3" s="8" t="inlineStr">
        <is>
          <t>Function</t>
        </is>
      </c>
      <c r="C3" s="8" t="inlineStr">
        <is>
          <t>Current Avg Score</t>
        </is>
      </c>
      <c r="D3" s="8" t="inlineStr">
        <is>
          <t>Target Avg Score</t>
        </is>
      </c>
      <c r="E3" s="8" t="inlineStr">
        <is>
          <t>Current Tier</t>
        </is>
      </c>
      <c r="F3" s="8" t="inlineStr">
        <is>
          <t>Status</t>
        </is>
      </c>
    </row>
    <row r="4" ht="22" customHeight="1">
      <c r="A4" s="39" t="inlineStr"/>
      <c r="B4" s="40" t="inlineStr">
        <is>
          <t>GOVERN (GV)</t>
        </is>
      </c>
      <c r="C4" s="38">
        <f>IFERROR(AVERAGE('Gap Analysis'!E5:E35),"")</f>
        <v/>
      </c>
      <c r="D4" s="38">
        <f>IFERROR(AVERAGE('Gap Analysis'!F5:F35),"")</f>
        <v/>
      </c>
      <c r="E4" s="16">
        <f>IF(ISNUMBER(C4),INT(C4),"")</f>
        <v/>
      </c>
      <c r="F4" s="41">
        <f>IF(C4="","Not Assessed",IF(C4&gt;=D4,"✅ On Target",IF(D4-C4&gt;=2,"🔴 Significant Gap","🟡 Gap")))</f>
        <v/>
      </c>
    </row>
    <row r="5" ht="22" customHeight="1">
      <c r="A5" s="39" t="inlineStr"/>
      <c r="B5" s="42" t="inlineStr">
        <is>
          <t>IDENTIFY (ID)</t>
        </is>
      </c>
      <c r="C5" s="38">
        <f>IFERROR(AVERAGE('Gap Analysis'!E38:E58),"")</f>
        <v/>
      </c>
      <c r="D5" s="38">
        <f>IFERROR(AVERAGE('Gap Analysis'!F38:F58),"")</f>
        <v/>
      </c>
      <c r="E5" s="16">
        <f>IF(ISNUMBER(C5),INT(C5),"")</f>
        <v/>
      </c>
      <c r="F5" s="41">
        <f>IF(C5="","Not Assessed",IF(C5&gt;=D5,"✅ On Target",IF(D5-C5&gt;=2,"🔴 Significant Gap","🟡 Gap")))</f>
        <v/>
      </c>
    </row>
    <row r="6" ht="22" customHeight="1">
      <c r="A6" s="39" t="inlineStr"/>
      <c r="B6" s="43" t="inlineStr">
        <is>
          <t>PROTECT (PR)</t>
        </is>
      </c>
      <c r="C6" s="38">
        <f>IFERROR(AVERAGE('Gap Analysis'!E61:E82),"")</f>
        <v/>
      </c>
      <c r="D6" s="38">
        <f>IFERROR(AVERAGE('Gap Analysis'!F61:F82),"")</f>
        <v/>
      </c>
      <c r="E6" s="44">
        <f>IF(ISNUMBER(C6),INT(C6),"")</f>
        <v/>
      </c>
      <c r="F6" s="41">
        <f>IF(C6="","Not Assessed",IF(C6&gt;=D6,"✅ On Target",IF(D6-C6&gt;=2,"🔴 Significant Gap","🟡 Gap")))</f>
        <v/>
      </c>
    </row>
    <row r="7" ht="22" customHeight="1">
      <c r="A7" s="39" t="inlineStr"/>
      <c r="B7" s="45" t="inlineStr">
        <is>
          <t>DETECT (DE)</t>
        </is>
      </c>
      <c r="C7" s="38">
        <f>IFERROR(AVERAGE('Gap Analysis'!E85:E95),"")</f>
        <v/>
      </c>
      <c r="D7" s="38">
        <f>IFERROR(AVERAGE('Gap Analysis'!F85:F95),"")</f>
        <v/>
      </c>
      <c r="E7" s="46">
        <f>IF(ISNUMBER(C7),INT(C7),"")</f>
        <v/>
      </c>
      <c r="F7" s="41">
        <f>IF(C7="","Not Assessed",IF(C7&gt;=D7,"✅ On Target",IF(D7-C7&gt;=2,"🔴 Significant Gap","🟡 Gap")))</f>
        <v/>
      </c>
    </row>
    <row r="8" ht="22" customHeight="1">
      <c r="A8" s="39" t="inlineStr"/>
      <c r="B8" s="47" t="inlineStr">
        <is>
          <t>RESPOND (RS)</t>
        </is>
      </c>
      <c r="C8" s="38">
        <f>IFERROR(AVERAGE('Gap Analysis'!E98:E110),"")</f>
        <v/>
      </c>
      <c r="D8" s="38">
        <f>IFERROR(AVERAGE('Gap Analysis'!F98:F110),"")</f>
        <v/>
      </c>
      <c r="E8" s="48">
        <f>IF(ISNUMBER(C8),INT(C8),"")</f>
        <v/>
      </c>
      <c r="F8" s="41">
        <f>IF(C8="","Not Assessed",IF(C8&gt;=D8,"✅ On Target",IF(D8-C8&gt;=2,"🔴 Significant Gap","🟡 Gap")))</f>
        <v/>
      </c>
    </row>
    <row r="9" ht="22" customHeight="1">
      <c r="A9" s="39" t="inlineStr"/>
      <c r="B9" s="49" t="inlineStr">
        <is>
          <t>RECOVER (RC)</t>
        </is>
      </c>
      <c r="C9" s="38">
        <f>IFERROR(AVERAGE('Gap Analysis'!E113:E120),"")</f>
        <v/>
      </c>
      <c r="D9" s="38">
        <f>IFERROR(AVERAGE('Gap Analysis'!F113:F120),"")</f>
        <v/>
      </c>
      <c r="E9" s="50">
        <f>IF(ISNUMBER(C9),INT(C9),"")</f>
        <v/>
      </c>
      <c r="F9" s="41">
        <f>IF(C9="","Not Assessed",IF(C9&gt;=D9,"✅ On Target",IF(D9-C9&gt;=2,"🔴 Significant Gap","🟡 Gap")))</f>
        <v/>
      </c>
    </row>
    <row r="10" ht="6" customHeight="1"/>
    <row r="11" ht="28" customHeight="1">
      <c r="B11" s="51" t="inlineStr">
        <is>
          <t>Overall Program Tier</t>
        </is>
      </c>
      <c r="C11" s="52">
        <f>IFERROR(MIN(INT(C4),INT(C5),INT(C6),INT(C7),INT(C8),INT(C9)),"")</f>
        <v/>
      </c>
      <c r="D11" s="52">
        <f>IFERROR(MIN(INT(D4),INT(D5),INT(D6),INT(D7),INT(D8),INT(D9)),"")</f>
        <v/>
      </c>
      <c r="E11" s="52" t="inlineStr"/>
      <c r="F11" s="52" t="inlineStr"/>
    </row>
    <row r="13" ht="20" customHeight="1">
      <c r="B13" s="53" t="inlineStr">
        <is>
          <t>Tier Reference</t>
        </is>
      </c>
    </row>
    <row r="14" ht="18" customHeight="1">
      <c r="B14" s="54" t="inlineStr">
        <is>
          <t>Tier 1</t>
        </is>
      </c>
      <c r="C14" s="54" t="inlineStr">
        <is>
          <t>Partial</t>
        </is>
      </c>
      <c r="D14" s="55" t="inlineStr">
        <is>
          <t>Risk practices are ad hoc, reactive, and not formalized</t>
        </is>
      </c>
      <c r="E14" s="56" t="n"/>
      <c r="F14" s="56" t="n"/>
    </row>
    <row r="15" ht="18" customHeight="1">
      <c r="B15" s="57" t="inlineStr">
        <is>
          <t>Tier 2</t>
        </is>
      </c>
      <c r="C15" s="57" t="inlineStr">
        <is>
          <t>Risk Informed</t>
        </is>
      </c>
      <c r="D15" s="27" t="inlineStr">
        <is>
          <t>Risk awareness exists but not applied organization-wide</t>
        </is>
      </c>
      <c r="E15" s="58" t="n"/>
      <c r="F15" s="58" t="n"/>
    </row>
    <row r="16" ht="18" customHeight="1">
      <c r="B16" s="59" t="inlineStr">
        <is>
          <t>Tier 3</t>
        </is>
      </c>
      <c r="C16" s="59" t="inlineStr">
        <is>
          <t>Repeatable</t>
        </is>
      </c>
      <c r="D16" s="23" t="inlineStr">
        <is>
          <t>Risk practices are formally approved and consistently applied</t>
        </is>
      </c>
      <c r="E16" s="60" t="n"/>
      <c r="F16" s="60" t="n"/>
    </row>
    <row r="17" ht="18" customHeight="1">
      <c r="B17" s="61" t="inlineStr">
        <is>
          <t>Tier 4</t>
        </is>
      </c>
      <c r="C17" s="61" t="inlineStr">
        <is>
          <t>Adaptive</t>
        </is>
      </c>
      <c r="D17" s="14" t="inlineStr">
        <is>
          <t>Risk practices continuously improved based on threat intelligence</t>
        </is>
      </c>
      <c r="E17" s="62" t="n"/>
      <c r="F17" s="62" t="n"/>
    </row>
  </sheetData>
  <mergeCells count="8">
    <mergeCell ref="D14:F14"/>
    <mergeCell ref="B2:F2"/>
    <mergeCell ref="B11"/>
    <mergeCell ref="D17:F17"/>
    <mergeCell ref="B1:F1"/>
    <mergeCell ref="D15:F15"/>
    <mergeCell ref="D16:F16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2026-05-01T17:06:33Z</dcterms:created>
  <dcterms:modified xmlns:dcterms="http://purl.org/dc/terms/" xmlns:xsi="http://www.w3.org/2001/XMLSchema-instance" xsi:type="dcterms:W3CDTF">2026-05-01T17:06:35Z</dcterms:modified>
</cp:coreProperties>
</file>